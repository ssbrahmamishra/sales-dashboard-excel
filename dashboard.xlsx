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 activeTab="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25725"/>
  <pivotCaches>
    <pivotCache cacheId="29" r:id="rId10"/>
    <pivotCache cacheId="30" r:id="rId11"/>
    <pivotCache cacheId="31" r:id="rId12"/>
    <pivotCache cacheId="32" r:id="rId13"/>
    <pivotCache cacheId="33" r:id="rId14"/>
  </pivotCaches>
</workbook>
</file>

<file path=xl/calcChain.xml><?xml version="1.0" encoding="utf-8"?>
<calcChain xmlns="http://schemas.openxmlformats.org/spreadsheetml/2006/main">
  <c r="N2" i="2" a="1"/>
  <c r="N2" s="1"/>
  <c r="M2" i="3"/>
  <c r="I23" i="6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J3" i="2"/>
  <c r="I21" i="4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K21" i="3"/>
  <c r="J21"/>
  <c r="I21"/>
  <c r="K20"/>
  <c r="J20"/>
  <c r="I20"/>
  <c r="K19"/>
  <c r="J19"/>
  <c r="I19"/>
  <c r="K18"/>
  <c r="J18"/>
  <c r="I18"/>
  <c r="K17"/>
  <c r="J17"/>
  <c r="I17"/>
  <c r="K16"/>
  <c r="J16"/>
  <c r="I16"/>
  <c r="K15"/>
  <c r="J15"/>
  <c r="I15"/>
  <c r="K14"/>
  <c r="J14"/>
  <c r="I14"/>
  <c r="K13"/>
  <c r="J13"/>
  <c r="I13"/>
  <c r="K12"/>
  <c r="J12"/>
  <c r="I12"/>
  <c r="K11"/>
  <c r="J11"/>
  <c r="I11"/>
  <c r="K10"/>
  <c r="J10"/>
  <c r="I10"/>
  <c r="K9"/>
  <c r="J9"/>
  <c r="I9"/>
  <c r="K8"/>
  <c r="J8"/>
  <c r="I8"/>
  <c r="K7"/>
  <c r="J7"/>
  <c r="I7"/>
  <c r="K6"/>
  <c r="J6"/>
  <c r="I6"/>
  <c r="K5"/>
  <c r="J5"/>
  <c r="I5"/>
  <c r="K4"/>
  <c r="J4"/>
  <c r="I4"/>
  <c r="K3"/>
  <c r="J3"/>
  <c r="I3"/>
  <c r="K2"/>
  <c r="J2"/>
  <c r="I2"/>
  <c r="N2" s="1"/>
  <c r="J4" i="2"/>
  <c r="J5"/>
  <c r="J6"/>
  <c r="J7"/>
  <c r="J8"/>
  <c r="J9"/>
  <c r="J10"/>
  <c r="J11"/>
  <c r="J12"/>
  <c r="J13"/>
  <c r="J14"/>
  <c r="J15"/>
  <c r="J16"/>
  <c r="J17"/>
  <c r="J18"/>
  <c r="J19"/>
  <c r="J20"/>
  <c r="J21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"/>
  <c r="I3"/>
  <c r="I4"/>
  <c r="I5"/>
  <c r="I6"/>
  <c r="I7"/>
  <c r="I8"/>
  <c r="I9"/>
  <c r="I10"/>
  <c r="I11"/>
  <c r="I12"/>
  <c r="I13"/>
  <c r="I14"/>
  <c r="I15"/>
  <c r="I16"/>
  <c r="P2" s="1" a="1"/>
  <c r="P2" s="1"/>
  <c r="I17"/>
  <c r="I18"/>
  <c r="I19"/>
  <c r="I20"/>
  <c r="I21"/>
  <c r="I2"/>
  <c r="O2" i="3" l="1"/>
  <c r="L2"/>
</calcChain>
</file>

<file path=xl/sharedStrings.xml><?xml version="1.0" encoding="utf-8"?>
<sst xmlns="http://schemas.openxmlformats.org/spreadsheetml/2006/main" count="621" uniqueCount="72">
  <si>
    <t>Date</t>
  </si>
  <si>
    <t>Order_ID</t>
  </si>
  <si>
    <t>Region</t>
  </si>
  <si>
    <t>Salesperson</t>
  </si>
  <si>
    <t>Product</t>
  </si>
  <si>
    <t>Category</t>
  </si>
  <si>
    <t>Quantity</t>
  </si>
  <si>
    <t>Unit_Price</t>
  </si>
  <si>
    <t>ORD001</t>
  </si>
  <si>
    <t>North</t>
  </si>
  <si>
    <t>Rahul</t>
  </si>
  <si>
    <t>Laptop</t>
  </si>
  <si>
    <t>Electronics</t>
  </si>
  <si>
    <t>ORD002</t>
  </si>
  <si>
    <t>South</t>
  </si>
  <si>
    <t>Anita</t>
  </si>
  <si>
    <t>Mobile</t>
  </si>
  <si>
    <t>ORD003</t>
  </si>
  <si>
    <t>East</t>
  </si>
  <si>
    <t>Rohit</t>
  </si>
  <si>
    <t>Chair</t>
  </si>
  <si>
    <t>Furniture</t>
  </si>
  <si>
    <t>ORD004</t>
  </si>
  <si>
    <t>West</t>
  </si>
  <si>
    <t>Sneha</t>
  </si>
  <si>
    <t>Table</t>
  </si>
  <si>
    <t>ORD005</t>
  </si>
  <si>
    <t>Headphone</t>
  </si>
  <si>
    <t>ORD006</t>
  </si>
  <si>
    <t>ORD007</t>
  </si>
  <si>
    <t>ORD008</t>
  </si>
  <si>
    <t>Sofa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</si>
  <si>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</si>
  <si>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</si>
  <si>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</si>
  <si>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</si>
  <si>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</si>
  <si>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</si>
  <si>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</si>
  <si>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</si>
  <si>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</si>
  <si>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</si>
  <si>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</si>
  <si>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</si>
  <si>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Month</t>
  </si>
  <si>
    <t>Sale</t>
  </si>
  <si>
    <t>Year</t>
  </si>
  <si>
    <t>Average sale</t>
  </si>
  <si>
    <t>Row Labels</t>
  </si>
  <si>
    <t>Grand Total</t>
  </si>
  <si>
    <t>Sum of Sale</t>
  </si>
  <si>
    <t>Jan</t>
  </si>
  <si>
    <t>Sum of Sum of Sale</t>
  </si>
  <si>
    <t>BestProductByRegion</t>
  </si>
  <si>
    <t>HighestSaleInRegion</t>
  </si>
  <si>
    <t>SelectRegion</t>
  </si>
  <si>
    <t>chair</t>
  </si>
  <si>
    <t>SaleByRegion</t>
  </si>
  <si>
    <t>SalesByProduct</t>
  </si>
  <si>
    <t>SaleByRegionPivotTable</t>
  </si>
  <si>
    <t>SaleByProductPivotTable</t>
  </si>
  <si>
    <t>product</t>
  </si>
  <si>
    <t>Feb</t>
  </si>
  <si>
    <t>SaleByMonth</t>
  </si>
  <si>
    <t>BestProductByMonth</t>
  </si>
  <si>
    <t>SaleProductByMonth</t>
  </si>
  <si>
    <t xml:space="preserve">       BestProductBySale</t>
  </si>
  <si>
    <t>ProuctMonthlySale</t>
  </si>
  <si>
    <t>TotalSale</t>
  </si>
  <si>
    <t>HighestSingleSale</t>
  </si>
  <si>
    <t>Total _Sales</t>
  </si>
  <si>
    <t>Total_ Order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</si>
</sst>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0" xfId="0" applyFont="1"/>
    <xf numFmtId="0" fontId="0" fillId="0" borderId="0" xfId="0" pivotButton="1"/>
    <xf numFmtId="0" fontId="0" fillId="0" borderId="0" xfId="0" applyNumberFormat="1"/>
    <xf numFmtId="0" fontId="5" fillId="2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6" fillId="2" borderId="0" xfId="0" applyFont="1" applyFill="1"/>
    <xf numFmtId="0" fontId="6" fillId="2" borderId="0" xfId="0" applyFont="1" applyFill="1" applyAlignment="1"/>
    <xf numFmtId="0" fontId="6" fillId="4" borderId="0" xfId="0" applyFont="1" applyFill="1" applyAlignment="1"/>
    <xf numFmtId="0" fontId="7" fillId="0" borderId="0" xfId="0" applyFont="1" applyAlignment="1">
      <alignment horizontal="center"/>
    </xf>
    <xf numFmtId="0" fontId="8" fillId="2" borderId="0" xfId="0" applyFont="1" applyFill="1"/>
    <xf numFmtId="0" fontId="8" fillId="4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3" tint="0.39994506668294322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[dashboard.xlsx]Sheet8!PivotTable2</c:name>
    <c:fmtId val="0"/>
  </c:pivotSource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SalesByProduct</a:t>
            </a:r>
          </a:p>
        </c:rich>
      </c:tx>
      <c:layout>
        <c:manualLayout>
          <c:xMode val="edge"/>
          <c:yMode val="edge"/>
          <c:x val="0.32601182825880387"/>
          <c:y val="2.7777777777777821E-2"/>
        </c:manualLayout>
      </c:layout>
      <c:spPr>
        <a:solidFill>
          <a:srgbClr val="FFFF00"/>
        </a:solidFill>
      </c:spPr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dLblPos val="outEnd"/>
          <c:showVal val="1"/>
        </c:dLbl>
      </c:pivotFmt>
    </c:pivotFmts>
    <c:plotArea>
      <c:layout>
        <c:manualLayout>
          <c:layoutTarget val="inner"/>
          <c:xMode val="edge"/>
          <c:yMode val="edge"/>
          <c:x val="2.6730289107857772E-2"/>
          <c:y val="0.16144258907291775"/>
          <c:w val="0.93888888888888933"/>
          <c:h val="0.68969123651210373"/>
        </c:manualLayout>
      </c:layout>
      <c:barChart>
        <c:barDir val="col"/>
        <c:grouping val="clustered"/>
        <c:ser>
          <c:idx val="0"/>
          <c:order val="0"/>
          <c:tx>
            <c:strRef>
              <c:f>Sheet8!$B$30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Val val="1"/>
          </c:dLbls>
          <c:cat>
            <c:strRef>
              <c:f>Sheet8!$A$31:$A$37</c:f>
              <c:strCache>
                <c:ptCount val="6"/>
                <c:pt idx="0">
                  <c:v>Chair</c:v>
                </c:pt>
                <c:pt idx="1">
                  <c:v>Headphone</c:v>
                </c:pt>
                <c:pt idx="2">
                  <c:v>Laptop</c:v>
                </c:pt>
                <c:pt idx="3">
                  <c:v>Mobile</c:v>
                </c:pt>
                <c:pt idx="4">
                  <c:v>Sofa</c:v>
                </c:pt>
                <c:pt idx="5">
                  <c:v>Table</c:v>
                </c:pt>
              </c:strCache>
            </c:strRef>
          </c:cat>
          <c:val>
            <c:numRef>
              <c:f>Sheet8!$B$31:$B$37</c:f>
              <c:numCache>
                <c:formatCode>General</c:formatCode>
                <c:ptCount val="6"/>
                <c:pt idx="0">
                  <c:v>63250</c:v>
                </c:pt>
                <c:pt idx="1">
                  <c:v>29900</c:v>
                </c:pt>
                <c:pt idx="2">
                  <c:v>278000</c:v>
                </c:pt>
                <c:pt idx="3">
                  <c:v>177500</c:v>
                </c:pt>
                <c:pt idx="4">
                  <c:v>92000</c:v>
                </c:pt>
                <c:pt idx="5">
                  <c:v>47500</c:v>
                </c:pt>
              </c:numCache>
            </c:numRef>
          </c:val>
        </c:ser>
        <c:dLbls>
          <c:showVal val="1"/>
        </c:dLbls>
        <c:axId val="47927680"/>
        <c:axId val="47929216"/>
      </c:barChart>
      <c:catAx>
        <c:axId val="47927680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7929216"/>
        <c:crosses val="autoZero"/>
        <c:auto val="1"/>
        <c:lblAlgn val="ctr"/>
        <c:lblOffset val="100"/>
      </c:catAx>
      <c:valAx>
        <c:axId val="47929216"/>
        <c:scaling>
          <c:orientation val="minMax"/>
        </c:scaling>
        <c:delete val="1"/>
        <c:axPos val="l"/>
        <c:numFmt formatCode="General" sourceLinked="1"/>
        <c:tickLblPos val="none"/>
        <c:crossAx val="47927680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SalesByRegion</a:t>
            </a:r>
          </a:p>
        </c:rich>
      </c:tx>
      <c:spPr>
        <a:solidFill>
          <a:srgbClr val="FFFF00"/>
        </a:solidFill>
      </c:spPr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v>Total</c:v>
          </c:tx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184000</c:v>
              </c:pt>
              <c:pt idx="1">
                <c:v>214500</c:v>
              </c:pt>
              <c:pt idx="2">
                <c:v>156000</c:v>
              </c:pt>
              <c:pt idx="3">
                <c:v>133650</c:v>
              </c:pt>
            </c:numLit>
          </c:val>
        </c:ser>
        <c:dLbls>
          <c:showVal val="1"/>
        </c:dLbls>
        <c:axId val="48360064"/>
        <c:axId val="48432256"/>
      </c:barChart>
      <c:catAx>
        <c:axId val="48360064"/>
        <c:scaling>
          <c:orientation val="minMax"/>
        </c:scaling>
        <c:axPos val="l"/>
        <c:tickLblPos val="nextTo"/>
        <c:crossAx val="48432256"/>
        <c:crosses val="autoZero"/>
        <c:auto val="1"/>
        <c:lblAlgn val="ctr"/>
        <c:lblOffset val="100"/>
      </c:catAx>
      <c:valAx>
        <c:axId val="48432256"/>
        <c:scaling>
          <c:orientation val="minMax"/>
        </c:scaling>
        <c:delete val="1"/>
        <c:axPos val="b"/>
        <c:numFmt formatCode="General" sourceLinked="1"/>
        <c:tickLblPos val="none"/>
        <c:crossAx val="48360064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solidFill>
                  <a:sysClr val="windowText" lastClr="000000"/>
                </a:solidFill>
              </a:rPr>
              <a:t>Monthly Sales</a:t>
            </a:r>
            <a:endParaRPr lang="en-US">
              <a:solidFill>
                <a:sysClr val="windowText" lastClr="000000"/>
              </a:solidFill>
            </a:endParaRPr>
          </a:p>
        </c:rich>
      </c:tx>
      <c:layout/>
      <c:spPr>
        <a:solidFill>
          <a:srgbClr val="FFC000"/>
        </a:solidFill>
      </c:spPr>
    </c:title>
    <c:pivotFmts>
      <c:pivotFmt>
        <c:idx val="0"/>
        <c:marker>
          <c:symbol val="none"/>
        </c:marker>
      </c:pivotFmt>
      <c:pivotFmt>
        <c:idx val="1"/>
      </c:pivotFmt>
      <c:pivotFmt>
        <c:idx val="2"/>
      </c:pivotFmt>
      <c:pivotFmt>
        <c:idx val="3"/>
      </c:pivotFmt>
    </c:pivotFmts>
    <c:plotArea>
      <c:layout/>
      <c:lineChart>
        <c:grouping val="standard"/>
        <c:ser>
          <c:idx val="0"/>
          <c:order val="0"/>
          <c:tx>
            <c:v>Total</c:v>
          </c:tx>
          <c:dLbls>
            <c:dLblPos val="b"/>
            <c:showVal val="1"/>
          </c:dLbls>
          <c:cat>
            <c:strLit>
              <c:ptCount val="2"/>
              <c:pt idx="0">
                <c:v>Jan</c:v>
              </c:pt>
              <c:pt idx="1">
                <c:v>Feb</c:v>
              </c:pt>
            </c:strLit>
          </c:cat>
          <c:val>
            <c:numLit>
              <c:formatCode>General</c:formatCode>
              <c:ptCount val="2"/>
              <c:pt idx="0">
                <c:v>480400</c:v>
              </c:pt>
              <c:pt idx="1">
                <c:v>207750</c:v>
              </c:pt>
            </c:numLit>
          </c:val>
        </c:ser>
        <c:dLbls>
          <c:showVal val="1"/>
        </c:dLbls>
        <c:marker val="1"/>
        <c:axId val="50291456"/>
        <c:axId val="50293376"/>
      </c:lineChart>
      <c:catAx>
        <c:axId val="50291456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0293376"/>
        <c:crosses val="autoZero"/>
        <c:auto val="1"/>
        <c:lblAlgn val="ctr"/>
        <c:lblOffset val="100"/>
      </c:catAx>
      <c:valAx>
        <c:axId val="50293376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0291456"/>
        <c:crosses val="autoZero"/>
        <c:crossBetween val="between"/>
      </c:valAx>
      <c:spPr>
        <a:noFill/>
        <a:ln w="25400">
          <a:noFill/>
        </a:ln>
      </c:spPr>
    </c:plotArea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[dashboard.xlsx]Sheet7!PivotTable15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SaleByRegion</a:t>
            </a:r>
          </a:p>
        </c:rich>
      </c:tx>
      <c:layout/>
      <c:spPr>
        <a:solidFill>
          <a:srgbClr val="FFC000"/>
        </a:solidFill>
      </c:spPr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0108349267049078E-2"/>
          <c:y val="0.20549011098022199"/>
          <c:w val="0.92989165073295088"/>
          <c:h val="0.70679486914529399"/>
        </c:manualLayout>
      </c:layout>
      <c:barChart>
        <c:barDir val="col"/>
        <c:grouping val="clustered"/>
        <c:ser>
          <c:idx val="0"/>
          <c:order val="0"/>
          <c:tx>
            <c:strRef>
              <c:f>Sheet7!$B$15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Sheet7!$A$16:$A$20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Sheet7!$B$16:$B$20</c:f>
              <c:numCache>
                <c:formatCode>General</c:formatCode>
                <c:ptCount val="4"/>
                <c:pt idx="0">
                  <c:v>184000</c:v>
                </c:pt>
                <c:pt idx="1">
                  <c:v>214500</c:v>
                </c:pt>
                <c:pt idx="2">
                  <c:v>156000</c:v>
                </c:pt>
                <c:pt idx="3">
                  <c:v>133650</c:v>
                </c:pt>
              </c:numCache>
            </c:numRef>
          </c:val>
        </c:ser>
        <c:axId val="50685440"/>
        <c:axId val="50686976"/>
      </c:barChart>
      <c:catAx>
        <c:axId val="50685440"/>
        <c:scaling>
          <c:orientation val="minMax"/>
        </c:scaling>
        <c:axPos val="b"/>
        <c:tickLblPos val="nextTo"/>
        <c:crossAx val="50686976"/>
        <c:crosses val="autoZero"/>
        <c:auto val="1"/>
        <c:lblAlgn val="ctr"/>
        <c:lblOffset val="100"/>
      </c:catAx>
      <c:valAx>
        <c:axId val="50686976"/>
        <c:scaling>
          <c:orientation val="minMax"/>
        </c:scaling>
        <c:delete val="1"/>
        <c:axPos val="l"/>
        <c:numFmt formatCode="General" sourceLinked="1"/>
        <c:tickLblPos val="none"/>
        <c:crossAx val="50685440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SaleByProduct</a:t>
            </a:r>
          </a:p>
        </c:rich>
      </c:tx>
      <c:layout/>
      <c:spPr>
        <a:solidFill>
          <a:srgbClr val="FFC000"/>
        </a:solidFill>
      </c:spPr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v>Total</c:v>
          </c:tx>
          <c:cat>
            <c:strLit>
              <c:ptCount val="5"/>
              <c:pt idx="0">
                <c:v>Headphone</c:v>
              </c:pt>
              <c:pt idx="1">
                <c:v>Laptop</c:v>
              </c:pt>
              <c:pt idx="2">
                <c:v>Mobile</c:v>
              </c:pt>
              <c:pt idx="3">
                <c:v>Sofa</c:v>
              </c:pt>
              <c:pt idx="4">
                <c:v>Table</c:v>
              </c:pt>
            </c:strLit>
          </c:cat>
          <c:val>
            <c:numLit>
              <c:formatCode>General</c:formatCode>
              <c:ptCount val="5"/>
              <c:pt idx="0">
                <c:v>29900</c:v>
              </c:pt>
              <c:pt idx="1">
                <c:v>110000</c:v>
              </c:pt>
              <c:pt idx="2">
                <c:v>233500</c:v>
              </c:pt>
              <c:pt idx="3">
                <c:v>92000</c:v>
              </c:pt>
              <c:pt idx="4">
                <c:v>101500</c:v>
              </c:pt>
            </c:numLit>
          </c:val>
        </c:ser>
        <c:dLbls>
          <c:showVal val="1"/>
        </c:dLbls>
        <c:axId val="50919680"/>
        <c:axId val="51032448"/>
      </c:barChart>
      <c:catAx>
        <c:axId val="50919680"/>
        <c:scaling>
          <c:orientation val="minMax"/>
        </c:scaling>
        <c:axPos val="l"/>
        <c:tickLblPos val="nextTo"/>
        <c:crossAx val="51032448"/>
        <c:crosses val="autoZero"/>
        <c:auto val="1"/>
        <c:lblAlgn val="ctr"/>
        <c:lblOffset val="100"/>
      </c:catAx>
      <c:valAx>
        <c:axId val="51032448"/>
        <c:scaling>
          <c:orientation val="minMax"/>
        </c:scaling>
        <c:delete val="1"/>
        <c:axPos val="b"/>
        <c:numFmt formatCode="General" sourceLinked="1"/>
        <c:tickLblPos val="none"/>
        <c:crossAx val="50919680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1</xdr:row>
      <xdr:rowOff>22860</xdr:rowOff>
    </xdr:from>
    <xdr:to>
      <xdr:col>5</xdr:col>
      <xdr:colOff>137160</xdr:colOff>
      <xdr:row>15</xdr:row>
      <xdr:rowOff>167640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342900</xdr:colOff>
      <xdr:row>1</xdr:row>
      <xdr:rowOff>91440</xdr:rowOff>
    </xdr:from>
    <xdr:to>
      <xdr:col>15</xdr:col>
      <xdr:colOff>411480</xdr:colOff>
      <xdr:row>16</xdr:row>
      <xdr:rowOff>91440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</xdr:row>
      <xdr:rowOff>114300</xdr:rowOff>
    </xdr:from>
    <xdr:to>
      <xdr:col>9</xdr:col>
      <xdr:colOff>457200</xdr:colOff>
      <xdr:row>16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</xdr:colOff>
      <xdr:row>1</xdr:row>
      <xdr:rowOff>83820</xdr:rowOff>
    </xdr:from>
    <xdr:to>
      <xdr:col>18</xdr:col>
      <xdr:colOff>350520</xdr:colOff>
      <xdr:row>17</xdr:row>
      <xdr:rowOff>60960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15</xdr:col>
      <xdr:colOff>304800</xdr:colOff>
      <xdr:row>37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iranjan Mishra" refreshedDate="46004.471326736108" createdVersion="3" refreshedVersion="3" minRefreshableVersion="3" recordCount="21">
  <cacheSource type="worksheet">
    <worksheetSource ref="A1:I1048576" sheet="Sheet4"/>
  </cacheSource>
  <cacheFields count="9">
    <cacheField name="Date" numFmtId="0">
      <sharedItems containsNonDate="0" containsDate="1" containsString="0" containsBlank="1" minDate="2024-01-01T00:00:00" maxDate="2024-02-21T00:00:00"/>
    </cacheField>
    <cacheField name="Order_ID" numFmtId="0">
      <sharedItems containsBlank="1"/>
    </cacheField>
    <cacheField name="Region" numFmtId="0">
      <sharedItems containsBlank="1" count="5">
        <s v="North"/>
        <s v="South"/>
        <s v="East"/>
        <s v="West"/>
        <m/>
      </sharedItems>
    </cacheField>
    <cacheField name="Salesperson" numFmtId="0">
      <sharedItems containsBlank="1"/>
    </cacheField>
    <cacheField name="Product" numFmtId="0">
      <sharedItems containsBlank="1"/>
    </cacheField>
    <cacheField name="Category" numFmtId="0">
      <sharedItems containsBlank="1"/>
    </cacheField>
    <cacheField name="Quantity" numFmtId="0">
      <sharedItems containsString="0" containsBlank="1" containsNumber="1" containsInteger="1" minValue="1" maxValue="6"/>
    </cacheField>
    <cacheField name="Unit_Price" numFmtId="0">
      <sharedItems containsString="0" containsBlank="1" containsNumber="1" containsInteger="1" minValue="2400" maxValue="58000"/>
    </cacheField>
    <cacheField name="Sale" numFmtId="0">
      <sharedItems containsString="0" containsBlank="1" containsNumber="1" containsInteger="1" minValue="7500" maxValue="110000" count="20">
        <n v="110000"/>
        <n v="22000"/>
        <n v="14000"/>
        <n v="12000"/>
        <n v="7500"/>
        <n v="56000"/>
        <n v="42000"/>
        <n v="45000"/>
        <n v="17000"/>
        <n v="10400"/>
        <n v="23000"/>
        <n v="54000"/>
        <n v="67500"/>
        <n v="21600"/>
        <n v="58000"/>
        <n v="12500"/>
        <n v="46000"/>
        <n v="47000"/>
        <n v="1065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iranjan Mishra" refreshedDate="46005.709225810184" createdVersion="3" refreshedVersion="3" minRefreshableVersion="3" recordCount="6">
  <cacheSource type="worksheet">
    <worksheetSource ref="A3:B9" sheet="Sheet8"/>
  </cacheSource>
  <cacheFields count="2">
    <cacheField name="Salesbyproduct" numFmtId="0">
      <sharedItems count="6">
        <s v="Chair"/>
        <s v="Headphone"/>
        <s v="Laptop"/>
        <s v="Mobile"/>
        <s v="Sofa"/>
        <s v="Table"/>
      </sharedItems>
    </cacheField>
    <cacheField name="Sum of Sale" numFmtId="0">
      <sharedItems containsSemiMixedTypes="0" containsString="0" containsNumber="1" containsInteger="1" minValue="29900" maxValue="278000"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iranjan Mishra" refreshedDate="46017.022482291664" createdVersion="3" refreshedVersion="3" minRefreshableVersion="3" recordCount="20">
  <cacheSource type="worksheet">
    <worksheetSource ref="E1:I21" sheet="Sheet2"/>
  </cacheSource>
  <cacheFields count="5">
    <cacheField name="productName" numFmtId="0">
      <sharedItems count="6">
        <s v="Laptop"/>
        <s v="Mobile"/>
        <s v="Chair"/>
        <s v="Table"/>
        <s v="Headphone"/>
        <s v="Sofa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2400" maxValue="58000"/>
    </cacheField>
    <cacheField name="Sale" numFmtId="0">
      <sharedItems containsSemiMixedTypes="0" containsString="0" containsNumber="1" containsInteger="1" minValue="7500" maxValue="110000" count="19">
        <n v="110000"/>
        <n v="22000"/>
        <n v="14000"/>
        <n v="12000"/>
        <n v="7500"/>
        <n v="56000"/>
        <n v="42000"/>
        <n v="45000"/>
        <n v="17000"/>
        <n v="10400"/>
        <n v="23000"/>
        <n v="54000"/>
        <n v="67500"/>
        <n v="21600"/>
        <n v="58000"/>
        <n v="12500"/>
        <n v="46000"/>
        <n v="47000"/>
        <n v="1065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Niranjan Mishra" refreshedDate="46017.041004976854" createdVersion="3" refreshedVersion="3" minRefreshableVersion="3" recordCount="20">
  <cacheSource type="worksheet">
    <worksheetSource ref="E1:J21" sheet="Sheet2"/>
  </cacheSource>
  <cacheFields count="6">
    <cacheField name="productName" numFmtId="0">
      <sharedItems count="6">
        <s v="Laptop"/>
        <s v="Mobile"/>
        <s v="Chair"/>
        <s v="Table"/>
        <s v="Headphone"/>
        <s v="Sofa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2400" maxValue="58000"/>
    </cacheField>
    <cacheField name="Sale" numFmtId="0">
      <sharedItems containsSemiMixedTypes="0" containsString="0" containsNumber="1" containsInteger="1" minValue="7500" maxValue="110000"/>
    </cacheField>
    <cacheField name="Month" numFmtId="0">
      <sharedItems count="2">
        <s v="Jan"/>
        <s v="Feb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Niranjan Mishra" refreshedDate="46017.087185300923" createdVersion="3" refreshedVersion="3" minRefreshableVersion="3" recordCount="4">
  <cacheSource type="worksheet">
    <worksheetSource ref="A3:B7" sheet="Sheet7"/>
  </cacheSource>
  <cacheFields count="2">
    <cacheField name="SaleByRegion" numFmtId="0">
      <sharedItems count="4">
        <s v="East"/>
        <s v="North"/>
        <s v="South"/>
        <s v="West"/>
      </sharedItems>
    </cacheField>
    <cacheField name="Sum of Sale" numFmtId="0">
      <sharedItems containsSemiMixedTypes="0" containsString="0" containsNumber="1" containsInteger="1" minValue="133650" maxValue="2145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d v="2024-01-01T00:00:00"/>
    <s v="ORD001"/>
    <x v="0"/>
    <s v="Rahul"/>
    <s v="Laptop"/>
    <s v="Electronics"/>
    <n v="2"/>
    <n v="55000"/>
    <x v="0"/>
  </r>
  <r>
    <d v="2024-01-02T00:00:00"/>
    <s v="ORD002"/>
    <x v="1"/>
    <s v="Anita"/>
    <s v="Mobile"/>
    <s v="Electronics"/>
    <n v="1"/>
    <n v="22000"/>
    <x v="1"/>
  </r>
  <r>
    <d v="2024-01-03T00:00:00"/>
    <s v="ORD003"/>
    <x v="2"/>
    <s v="Rohit"/>
    <s v="Chair"/>
    <s v="Furniture"/>
    <n v="4"/>
    <n v="3500"/>
    <x v="2"/>
  </r>
  <r>
    <d v="2024-01-05T00:00:00"/>
    <s v="ORD004"/>
    <x v="3"/>
    <s v="Sneha"/>
    <s v="Table"/>
    <s v="Furniture"/>
    <n v="1"/>
    <n v="12000"/>
    <x v="3"/>
  </r>
  <r>
    <d v="2024-01-07T00:00:00"/>
    <s v="ORD005"/>
    <x v="0"/>
    <s v="Rahul"/>
    <s v="Headphone"/>
    <s v="Electronics"/>
    <n v="3"/>
    <n v="2500"/>
    <x v="4"/>
  </r>
  <r>
    <d v="2024-01-10T00:00:00"/>
    <s v="ORD006"/>
    <x v="1"/>
    <s v="Anita"/>
    <s v="Laptop"/>
    <s v="Electronics"/>
    <n v="1"/>
    <n v="56000"/>
    <x v="5"/>
  </r>
  <r>
    <d v="2024-01-12T00:00:00"/>
    <s v="ORD007"/>
    <x v="2"/>
    <s v="Rohit"/>
    <s v="Mobile"/>
    <s v="Electronics"/>
    <n v="2"/>
    <n v="21000"/>
    <x v="6"/>
  </r>
  <r>
    <d v="2024-01-15T00:00:00"/>
    <s v="ORD008"/>
    <x v="3"/>
    <s v="Sneha"/>
    <s v="Sofa"/>
    <s v="Furniture"/>
    <n v="1"/>
    <n v="45000"/>
    <x v="7"/>
  </r>
  <r>
    <d v="2024-01-18T00:00:00"/>
    <s v="ORD009"/>
    <x v="0"/>
    <s v="Rahul"/>
    <s v="Chair"/>
    <s v="Furniture"/>
    <n v="5"/>
    <n v="3400"/>
    <x v="8"/>
  </r>
  <r>
    <d v="2024-01-20T00:00:00"/>
    <s v="ORD010"/>
    <x v="1"/>
    <s v="Anita"/>
    <s v="Headphone"/>
    <s v="Electronics"/>
    <n v="4"/>
    <n v="2600"/>
    <x v="9"/>
  </r>
  <r>
    <d v="2024-01-22T00:00:00"/>
    <s v="ORD011"/>
    <x v="2"/>
    <s v="Rohit"/>
    <s v="Table"/>
    <s v="Furniture"/>
    <n v="2"/>
    <n v="11500"/>
    <x v="10"/>
  </r>
  <r>
    <d v="2024-01-25T00:00:00"/>
    <s v="ORD012"/>
    <x v="3"/>
    <s v="Sneha"/>
    <s v="Laptop"/>
    <s v="Electronics"/>
    <n v="1"/>
    <n v="54000"/>
    <x v="11"/>
  </r>
  <r>
    <d v="2024-01-28T00:00:00"/>
    <s v="ORD013"/>
    <x v="0"/>
    <s v="Rahul"/>
    <s v="Mobile"/>
    <s v="Electronics"/>
    <n v="3"/>
    <n v="22500"/>
    <x v="12"/>
  </r>
  <r>
    <d v="2024-02-02T00:00:00"/>
    <s v="ORD014"/>
    <x v="1"/>
    <s v="Anita"/>
    <s v="Chair"/>
    <s v="Furniture"/>
    <n v="6"/>
    <n v="3600"/>
    <x v="13"/>
  </r>
  <r>
    <d v="2024-02-05T00:00:00"/>
    <s v="ORD015"/>
    <x v="2"/>
    <s v="Rohit"/>
    <s v="Laptop"/>
    <s v="Electronics"/>
    <n v="1"/>
    <n v="58000"/>
    <x v="14"/>
  </r>
  <r>
    <d v="2024-02-08T00:00:00"/>
    <s v="ORD016"/>
    <x v="3"/>
    <s v="Sneha"/>
    <s v="Headphone"/>
    <s v="Electronics"/>
    <n v="5"/>
    <n v="2400"/>
    <x v="3"/>
  </r>
  <r>
    <d v="2024-02-12T00:00:00"/>
    <s v="ORD017"/>
    <x v="0"/>
    <s v="Rahul"/>
    <s v="Table"/>
    <s v="Furniture"/>
    <n v="1"/>
    <n v="12500"/>
    <x v="15"/>
  </r>
  <r>
    <d v="2024-02-15T00:00:00"/>
    <s v="ORD018"/>
    <x v="1"/>
    <s v="Anita"/>
    <s v="Mobile"/>
    <s v="Electronics"/>
    <n v="2"/>
    <n v="23000"/>
    <x v="16"/>
  </r>
  <r>
    <d v="2024-02-18T00:00:00"/>
    <s v="ORD019"/>
    <x v="2"/>
    <s v="Rohit"/>
    <s v="Sofa"/>
    <s v="Furniture"/>
    <n v="1"/>
    <n v="47000"/>
    <x v="17"/>
  </r>
  <r>
    <d v="2024-02-20T00:00:00"/>
    <s v="ORD020"/>
    <x v="3"/>
    <s v="Sneha"/>
    <s v="Chair"/>
    <s v="Furniture"/>
    <n v="3"/>
    <n v="3550"/>
    <x v="18"/>
  </r>
  <r>
    <m/>
    <m/>
    <x v="4"/>
    <m/>
    <m/>
    <m/>
    <m/>
    <m/>
    <x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">
  <r>
    <x v="0"/>
    <n v="63250"/>
  </r>
  <r>
    <x v="1"/>
    <n v="29900"/>
  </r>
  <r>
    <x v="2"/>
    <n v="278000"/>
  </r>
  <r>
    <x v="3"/>
    <n v="177500"/>
  </r>
  <r>
    <x v="4"/>
    <n v="92000"/>
  </r>
  <r>
    <x v="5"/>
    <n v="475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">
  <r>
    <x v="0"/>
    <s v="Electronics"/>
    <n v="2"/>
    <n v="55000"/>
    <x v="0"/>
  </r>
  <r>
    <x v="1"/>
    <s v="Electronics"/>
    <n v="1"/>
    <n v="22000"/>
    <x v="1"/>
  </r>
  <r>
    <x v="2"/>
    <s v="Furniture"/>
    <n v="4"/>
    <n v="3500"/>
    <x v="2"/>
  </r>
  <r>
    <x v="3"/>
    <s v="Furniture"/>
    <n v="1"/>
    <n v="12000"/>
    <x v="3"/>
  </r>
  <r>
    <x v="4"/>
    <s v="Electronics"/>
    <n v="3"/>
    <n v="2500"/>
    <x v="4"/>
  </r>
  <r>
    <x v="1"/>
    <s v="Electronics"/>
    <n v="1"/>
    <n v="56000"/>
    <x v="5"/>
  </r>
  <r>
    <x v="1"/>
    <s v="Electronics"/>
    <n v="2"/>
    <n v="21000"/>
    <x v="6"/>
  </r>
  <r>
    <x v="5"/>
    <s v="Furniture"/>
    <n v="1"/>
    <n v="45000"/>
    <x v="7"/>
  </r>
  <r>
    <x v="2"/>
    <s v="Furniture"/>
    <n v="5"/>
    <n v="3400"/>
    <x v="8"/>
  </r>
  <r>
    <x v="4"/>
    <s v="Electronics"/>
    <n v="4"/>
    <n v="2600"/>
    <x v="9"/>
  </r>
  <r>
    <x v="3"/>
    <s v="Furniture"/>
    <n v="2"/>
    <n v="11500"/>
    <x v="10"/>
  </r>
  <r>
    <x v="3"/>
    <s v="Electronics"/>
    <n v="1"/>
    <n v="54000"/>
    <x v="11"/>
  </r>
  <r>
    <x v="1"/>
    <s v="Electronics"/>
    <n v="3"/>
    <n v="22500"/>
    <x v="12"/>
  </r>
  <r>
    <x v="2"/>
    <s v="Furniture"/>
    <n v="6"/>
    <n v="3600"/>
    <x v="13"/>
  </r>
  <r>
    <x v="2"/>
    <s v="Electronics"/>
    <n v="1"/>
    <n v="58000"/>
    <x v="14"/>
  </r>
  <r>
    <x v="4"/>
    <s v="Electronics"/>
    <n v="5"/>
    <n v="2400"/>
    <x v="3"/>
  </r>
  <r>
    <x v="3"/>
    <s v="Furniture"/>
    <n v="1"/>
    <n v="12500"/>
    <x v="15"/>
  </r>
  <r>
    <x v="1"/>
    <s v="Electronics"/>
    <n v="2"/>
    <n v="23000"/>
    <x v="16"/>
  </r>
  <r>
    <x v="5"/>
    <s v="Furniture"/>
    <n v="1"/>
    <n v="47000"/>
    <x v="17"/>
  </r>
  <r>
    <x v="2"/>
    <s v="Furniture"/>
    <n v="3"/>
    <n v="3550"/>
    <x v="1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0">
  <r>
    <x v="0"/>
    <s v="Electronics"/>
    <n v="2"/>
    <n v="55000"/>
    <n v="110000"/>
    <x v="0"/>
  </r>
  <r>
    <x v="1"/>
    <s v="Electronics"/>
    <n v="1"/>
    <n v="22000"/>
    <n v="22000"/>
    <x v="0"/>
  </r>
  <r>
    <x v="2"/>
    <s v="Furniture"/>
    <n v="4"/>
    <n v="3500"/>
    <n v="14000"/>
    <x v="0"/>
  </r>
  <r>
    <x v="3"/>
    <s v="Furniture"/>
    <n v="1"/>
    <n v="12000"/>
    <n v="12000"/>
    <x v="0"/>
  </r>
  <r>
    <x v="4"/>
    <s v="Electronics"/>
    <n v="3"/>
    <n v="2500"/>
    <n v="7500"/>
    <x v="0"/>
  </r>
  <r>
    <x v="1"/>
    <s v="Electronics"/>
    <n v="1"/>
    <n v="56000"/>
    <n v="56000"/>
    <x v="0"/>
  </r>
  <r>
    <x v="1"/>
    <s v="Electronics"/>
    <n v="2"/>
    <n v="21000"/>
    <n v="42000"/>
    <x v="0"/>
  </r>
  <r>
    <x v="5"/>
    <s v="Furniture"/>
    <n v="1"/>
    <n v="45000"/>
    <n v="45000"/>
    <x v="0"/>
  </r>
  <r>
    <x v="2"/>
    <s v="Furniture"/>
    <n v="5"/>
    <n v="3400"/>
    <n v="17000"/>
    <x v="0"/>
  </r>
  <r>
    <x v="4"/>
    <s v="Electronics"/>
    <n v="4"/>
    <n v="2600"/>
    <n v="10400"/>
    <x v="0"/>
  </r>
  <r>
    <x v="3"/>
    <s v="Furniture"/>
    <n v="2"/>
    <n v="11500"/>
    <n v="23000"/>
    <x v="0"/>
  </r>
  <r>
    <x v="3"/>
    <s v="Electronics"/>
    <n v="1"/>
    <n v="54000"/>
    <n v="54000"/>
    <x v="0"/>
  </r>
  <r>
    <x v="1"/>
    <s v="Electronics"/>
    <n v="3"/>
    <n v="22500"/>
    <n v="67500"/>
    <x v="0"/>
  </r>
  <r>
    <x v="2"/>
    <s v="Furniture"/>
    <n v="6"/>
    <n v="3600"/>
    <n v="21600"/>
    <x v="1"/>
  </r>
  <r>
    <x v="2"/>
    <s v="Electronics"/>
    <n v="1"/>
    <n v="58000"/>
    <n v="58000"/>
    <x v="1"/>
  </r>
  <r>
    <x v="4"/>
    <s v="Electronics"/>
    <n v="5"/>
    <n v="2400"/>
    <n v="12000"/>
    <x v="1"/>
  </r>
  <r>
    <x v="3"/>
    <s v="Furniture"/>
    <n v="1"/>
    <n v="12500"/>
    <n v="12500"/>
    <x v="1"/>
  </r>
  <r>
    <x v="1"/>
    <s v="Electronics"/>
    <n v="2"/>
    <n v="23000"/>
    <n v="46000"/>
    <x v="1"/>
  </r>
  <r>
    <x v="5"/>
    <s v="Furniture"/>
    <n v="1"/>
    <n v="47000"/>
    <n v="47000"/>
    <x v="1"/>
  </r>
  <r>
    <x v="2"/>
    <s v="Furniture"/>
    <n v="3"/>
    <n v="3550"/>
    <n v="10650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4">
  <r>
    <x v="0"/>
    <n v="184000"/>
  </r>
  <r>
    <x v="1"/>
    <n v="214500"/>
  </r>
  <r>
    <x v="2"/>
    <n v="156000"/>
  </r>
  <r>
    <x v="3"/>
    <n v="1336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7" cacheId="3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I4:J6" firstHeaderRow="1" firstDataRow="1" firstDataCol="1"/>
  <pivotFields count="5">
    <pivotField axis="axisRow" showAll="0" measureFilter="1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2">
    <i>
      <x v="3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" filterVal="1"/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PivotTable6" cacheId="3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F4:G11" firstHeaderRow="1" firstDataRow="1" firstDataCol="1"/>
  <pivotFields count="5">
    <pivotField axis="axisRow"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2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aleByRegion">
  <location ref="A3:B8" firstHeaderRow="1" firstDataRow="1" firstDataCol="1"/>
  <pivotFields count="9">
    <pivotField showAll="0"/>
    <pivotField showAll="0"/>
    <pivotField axis="axisRow" showAll="0">
      <items count="6">
        <item x="2"/>
        <item x="0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>
      <items count="21">
        <item x="4"/>
        <item x="9"/>
        <item x="18"/>
        <item x="3"/>
        <item x="15"/>
        <item x="2"/>
        <item x="8"/>
        <item x="13"/>
        <item x="1"/>
        <item x="10"/>
        <item x="6"/>
        <item x="7"/>
        <item x="16"/>
        <item x="17"/>
        <item x="11"/>
        <item x="5"/>
        <item x="14"/>
        <item x="12"/>
        <item x="0"/>
        <item x="19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" fld="8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5" cacheId="3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15:B20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um of Sale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3" cacheId="3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aleProductByMonth">
  <location ref="H16:I29" firstHeaderRow="1" firstDataRow="1" firstDataCol="1"/>
  <pivotFields count="6">
    <pivotField axis="axisRow" showAll="0">
      <items count="7">
        <item x="2"/>
        <item x="4"/>
        <item sd="0" x="0"/>
        <item x="1"/>
        <item sd="0" x="5"/>
        <item sd="0" x="3"/>
        <item t="default"/>
      </items>
    </pivotField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2">
    <field x="0"/>
    <field x="5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>
      <x v="3"/>
    </i>
    <i r="1">
      <x/>
    </i>
    <i r="1">
      <x v="1"/>
    </i>
    <i>
      <x v="4"/>
    </i>
    <i>
      <x v="5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2" cacheId="3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aleByMonth">
  <location ref="M5:N9" firstHeaderRow="1" firstDataRow="1" firstDataCol="1"/>
  <pivotFields count="6">
    <pivotField axis="axisRow" showAll="0" measureFilter="1">
      <items count="7">
        <item x="2"/>
        <item x="4"/>
        <item sd="0" x="0"/>
        <item x="1"/>
        <item sd="0" x="5"/>
        <item sd="0" x="3"/>
        <item t="default"/>
      </items>
    </pivotField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2">
    <field x="0"/>
    <field x="5"/>
  </rowFields>
  <rowItems count="4">
    <i>
      <x v="3"/>
    </i>
    <i r="1">
      <x/>
    </i>
    <i r="1">
      <x v="1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val="1" filterVal="1"/>
        </filterColumn>
      </autoFilter>
    </filter>
  </filters>
</pivotTableDefinition>
</file>

<file path=xl/pivotTables/pivotTable7.xml><?xml version="1.0" encoding="utf-8"?>
<pivotTableDefinition xmlns="http://schemas.openxmlformats.org/spreadsheetml/2006/main" name="PivotTable2" cacheId="3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 rowHeaderCaption="SalesByProduct">
  <location ref="A30:B37" firstHeaderRow="1" firstDataRow="1" firstDataCol="1"/>
  <pivotFields count="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um of Sal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workbookViewId="0">
      <selection activeCell="C20" sqref="C20"/>
    </sheetView>
  </sheetViews>
  <sheetFormatPr defaultRowHeight="14.4"/>
  <cols>
    <col min="1" max="1" width="17.109375" style="5" customWidth="1"/>
    <col min="2" max="2" width="17.44140625" style="5" customWidth="1"/>
    <col min="3" max="3" width="17" style="5" customWidth="1"/>
    <col min="4" max="4" width="15.21875" style="5" customWidth="1"/>
    <col min="5" max="5" width="18.77734375" style="5" customWidth="1"/>
    <col min="6" max="6" width="13.77734375" style="5" customWidth="1"/>
    <col min="7" max="7" width="11.5546875" style="5" customWidth="1"/>
    <col min="8" max="8" width="14.44140625" style="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</row>
    <row r="3" spans="1:8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</row>
    <row r="4" spans="1:8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</row>
    <row r="5" spans="1:8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</row>
    <row r="6" spans="1:8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</row>
    <row r="7" spans="1:8">
      <c r="A7" s="4">
        <v>45301</v>
      </c>
      <c r="B7" s="8" t="s">
        <v>28</v>
      </c>
      <c r="C7" s="8" t="s">
        <v>14</v>
      </c>
      <c r="D7" s="8" t="s">
        <v>15</v>
      </c>
      <c r="E7" s="8" t="s">
        <v>11</v>
      </c>
      <c r="F7" s="8" t="s">
        <v>12</v>
      </c>
      <c r="G7" s="8">
        <v>1</v>
      </c>
      <c r="H7" s="8">
        <v>56000</v>
      </c>
    </row>
    <row r="8" spans="1:8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</row>
    <row r="9" spans="1:8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</row>
    <row r="10" spans="1:8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</row>
    <row r="11" spans="1:8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</row>
    <row r="12" spans="1:8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</row>
    <row r="13" spans="1:8">
      <c r="A13" s="4">
        <v>45316</v>
      </c>
      <c r="B13" s="8" t="s">
        <v>35</v>
      </c>
      <c r="C13" s="8" t="s">
        <v>23</v>
      </c>
      <c r="D13" s="8" t="s">
        <v>24</v>
      </c>
      <c r="E13" s="8" t="s">
        <v>11</v>
      </c>
      <c r="F13" s="8" t="s">
        <v>12</v>
      </c>
      <c r="G13" s="8">
        <v>1</v>
      </c>
      <c r="H13" s="8">
        <v>54000</v>
      </c>
    </row>
    <row r="14" spans="1:8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</row>
    <row r="15" spans="1:8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</row>
    <row r="16" spans="1:8">
      <c r="A16" s="4">
        <v>45327</v>
      </c>
      <c r="B16" s="8" t="s">
        <v>38</v>
      </c>
      <c r="C16" s="8" t="s">
        <v>18</v>
      </c>
      <c r="D16" s="8" t="s">
        <v>19</v>
      </c>
      <c r="E16" s="8" t="s">
        <v>11</v>
      </c>
      <c r="F16" s="8" t="s">
        <v>12</v>
      </c>
      <c r="G16" s="8">
        <v>1</v>
      </c>
      <c r="H16" s="8">
        <v>58000</v>
      </c>
    </row>
    <row r="17" spans="1:8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</row>
    <row r="18" spans="1:8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</row>
    <row r="19" spans="1:8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</row>
    <row r="20" spans="1:8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</row>
    <row r="21" spans="1:8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</row>
    <row r="24" spans="1:8" ht="23.4">
      <c r="A24" s="6"/>
    </row>
    <row r="32" spans="1:8">
      <c r="A32" s="7"/>
    </row>
    <row r="33" spans="1:1">
      <c r="A33" s="7"/>
    </row>
    <row r="34" spans="1:1">
      <c r="A34" s="7"/>
    </row>
    <row r="40" spans="1:1" ht="23.4">
      <c r="A40" s="6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5"/>
  <sheetViews>
    <sheetView topLeftCell="D1" workbookViewId="0">
      <selection activeCell="M2" sqref="M2"/>
    </sheetView>
  </sheetViews>
  <sheetFormatPr defaultRowHeight="14.4"/>
  <cols>
    <col min="1" max="1" width="19.44140625" style="5" customWidth="1"/>
    <col min="2" max="2" width="12.21875" style="5" customWidth="1"/>
    <col min="3" max="4" width="15.109375" style="5" customWidth="1"/>
    <col min="5" max="5" width="27" style="5" customWidth="1"/>
    <col min="6" max="6" width="12.33203125" style="5" customWidth="1"/>
    <col min="7" max="7" width="12.5546875" style="5" customWidth="1"/>
    <col min="8" max="8" width="10.88671875" style="5" customWidth="1"/>
    <col min="9" max="9" width="12.77734375" style="5" customWidth="1"/>
    <col min="10" max="11" width="10.88671875" style="5" customWidth="1"/>
    <col min="12" max="12" width="13.5546875" style="5" bestFit="1" customWidth="1"/>
    <col min="13" max="13" width="12.5546875" style="5" customWidth="1"/>
    <col min="14" max="14" width="24.77734375" style="5" customWidth="1"/>
    <col min="15" max="15" width="16.6640625" style="5" customWidth="1"/>
    <col min="16" max="16" width="26.109375" style="5" customWidth="1"/>
    <col min="17" max="16384" width="8.88671875" style="5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5" t="s">
        <v>68</v>
      </c>
      <c r="J1" s="1" t="s">
        <v>44</v>
      </c>
      <c r="K1" s="1" t="s">
        <v>46</v>
      </c>
      <c r="M1" s="1" t="s">
        <v>55</v>
      </c>
      <c r="N1" s="15" t="s">
        <v>53</v>
      </c>
      <c r="O1" s="14" t="s">
        <v>55</v>
      </c>
      <c r="P1" s="13" t="s">
        <v>54</v>
      </c>
    </row>
    <row r="2" spans="1:16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  <c r="I2" s="5">
        <f>H2*G2</f>
        <v>110000</v>
      </c>
      <c r="J2" s="5" t="s">
        <v>51</v>
      </c>
      <c r="K2" s="5">
        <f>YEAR(A2)</f>
        <v>2024</v>
      </c>
      <c r="M2" s="5" t="s">
        <v>9</v>
      </c>
      <c r="N2" s="5" t="str">
        <f t="array" ref="N2">INDEX(E2:E21,
MATCH(1,
(C2:C21=M2)*
(I2:I21=MAX(IF(C2:C21=M2,I2:I21))),
0))</f>
        <v>Laptop</v>
      </c>
      <c r="O2" s="5" t="s">
        <v>18</v>
      </c>
      <c r="P2" s="5">
        <f t="array" ref="P2">MAX(IF(C2:C21=O2,I2:I21))</f>
        <v>58000</v>
      </c>
    </row>
    <row r="3" spans="1:16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  <c r="I3" s="5">
        <f t="shared" ref="I3:I21" si="0">H3*G3</f>
        <v>22000</v>
      </c>
      <c r="J3" s="5" t="str">
        <f>TEXT(A3,"mmm")</f>
        <v>Jan</v>
      </c>
      <c r="K3" s="5">
        <f t="shared" ref="K3:K21" si="1">YEAR(A3)</f>
        <v>2024</v>
      </c>
    </row>
    <row r="4" spans="1:16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  <c r="I4" s="5">
        <f t="shared" si="0"/>
        <v>14000</v>
      </c>
      <c r="J4" s="5" t="str">
        <f t="shared" ref="J4:J21" si="2">TEXT(A4,"mmm")</f>
        <v>Jan</v>
      </c>
      <c r="K4" s="5">
        <f t="shared" si="1"/>
        <v>2024</v>
      </c>
    </row>
    <row r="5" spans="1:16" ht="21" customHeight="1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  <c r="I5" s="5">
        <f t="shared" si="0"/>
        <v>12000</v>
      </c>
      <c r="J5" s="5" t="str">
        <f t="shared" si="2"/>
        <v>Jan</v>
      </c>
      <c r="K5" s="5">
        <f t="shared" si="1"/>
        <v>2024</v>
      </c>
    </row>
    <row r="6" spans="1:16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  <c r="I6" s="5">
        <f t="shared" si="0"/>
        <v>7500</v>
      </c>
      <c r="J6" s="5" t="str">
        <f t="shared" si="2"/>
        <v>Jan</v>
      </c>
      <c r="K6" s="5">
        <f t="shared" si="1"/>
        <v>2024</v>
      </c>
    </row>
    <row r="7" spans="1:16">
      <c r="A7" s="4">
        <v>45301</v>
      </c>
      <c r="B7" s="8" t="s">
        <v>28</v>
      </c>
      <c r="C7" s="8" t="s">
        <v>14</v>
      </c>
      <c r="D7" s="8" t="s">
        <v>15</v>
      </c>
      <c r="E7" s="8" t="s">
        <v>16</v>
      </c>
      <c r="F7" s="8" t="s">
        <v>12</v>
      </c>
      <c r="G7" s="8">
        <v>1</v>
      </c>
      <c r="H7" s="8">
        <v>56000</v>
      </c>
      <c r="I7" s="5">
        <f t="shared" si="0"/>
        <v>56000</v>
      </c>
      <c r="J7" s="5" t="str">
        <f t="shared" si="2"/>
        <v>Jan</v>
      </c>
      <c r="K7" s="5">
        <f t="shared" si="1"/>
        <v>2024</v>
      </c>
    </row>
    <row r="8" spans="1:16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  <c r="I8" s="5">
        <f t="shared" si="0"/>
        <v>42000</v>
      </c>
      <c r="J8" s="5" t="str">
        <f t="shared" si="2"/>
        <v>Jan</v>
      </c>
      <c r="K8" s="5">
        <f t="shared" si="1"/>
        <v>2024</v>
      </c>
    </row>
    <row r="9" spans="1:16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  <c r="I9" s="5">
        <f t="shared" si="0"/>
        <v>45000</v>
      </c>
      <c r="J9" s="5" t="str">
        <f t="shared" si="2"/>
        <v>Jan</v>
      </c>
      <c r="K9" s="5">
        <f t="shared" si="1"/>
        <v>2024</v>
      </c>
    </row>
    <row r="10" spans="1:16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  <c r="I10" s="5">
        <f t="shared" si="0"/>
        <v>17000</v>
      </c>
      <c r="J10" s="5" t="str">
        <f t="shared" si="2"/>
        <v>Jan</v>
      </c>
      <c r="K10" s="5">
        <f t="shared" si="1"/>
        <v>2024</v>
      </c>
    </row>
    <row r="11" spans="1:16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  <c r="I11" s="5">
        <f t="shared" si="0"/>
        <v>10400</v>
      </c>
      <c r="J11" s="5" t="str">
        <f t="shared" si="2"/>
        <v>Jan</v>
      </c>
      <c r="K11" s="5">
        <f t="shared" si="1"/>
        <v>2024</v>
      </c>
    </row>
    <row r="12" spans="1:16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  <c r="I12" s="5">
        <f t="shared" si="0"/>
        <v>23000</v>
      </c>
      <c r="J12" s="5" t="str">
        <f t="shared" si="2"/>
        <v>Jan</v>
      </c>
      <c r="K12" s="5">
        <f t="shared" si="1"/>
        <v>2024</v>
      </c>
    </row>
    <row r="13" spans="1:16">
      <c r="A13" s="4">
        <v>45316</v>
      </c>
      <c r="B13" s="8" t="s">
        <v>35</v>
      </c>
      <c r="C13" s="8" t="s">
        <v>23</v>
      </c>
      <c r="D13" s="8" t="s">
        <v>24</v>
      </c>
      <c r="E13" s="8" t="s">
        <v>25</v>
      </c>
      <c r="F13" s="8" t="s">
        <v>12</v>
      </c>
      <c r="G13" s="8">
        <v>1</v>
      </c>
      <c r="H13" s="8">
        <v>54000</v>
      </c>
      <c r="I13" s="5">
        <f t="shared" si="0"/>
        <v>54000</v>
      </c>
      <c r="J13" s="5" t="str">
        <f t="shared" si="2"/>
        <v>Jan</v>
      </c>
      <c r="K13" s="5">
        <f t="shared" si="1"/>
        <v>2024</v>
      </c>
    </row>
    <row r="14" spans="1:16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  <c r="I14" s="5">
        <f t="shared" si="0"/>
        <v>67500</v>
      </c>
      <c r="J14" s="5" t="str">
        <f t="shared" si="2"/>
        <v>Jan</v>
      </c>
      <c r="K14" s="5">
        <f t="shared" si="1"/>
        <v>2024</v>
      </c>
    </row>
    <row r="15" spans="1:16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  <c r="I15" s="5">
        <f t="shared" si="0"/>
        <v>21600</v>
      </c>
      <c r="J15" s="5" t="str">
        <f t="shared" si="2"/>
        <v>Feb</v>
      </c>
      <c r="K15" s="5">
        <f t="shared" si="1"/>
        <v>2024</v>
      </c>
    </row>
    <row r="16" spans="1:16">
      <c r="A16" s="4">
        <v>45327</v>
      </c>
      <c r="B16" s="8" t="s">
        <v>38</v>
      </c>
      <c r="C16" s="8" t="s">
        <v>18</v>
      </c>
      <c r="D16" s="8" t="s">
        <v>19</v>
      </c>
      <c r="E16" s="8" t="s">
        <v>56</v>
      </c>
      <c r="F16" s="8" t="s">
        <v>12</v>
      </c>
      <c r="G16" s="8">
        <v>1</v>
      </c>
      <c r="H16" s="8">
        <v>58000</v>
      </c>
      <c r="I16" s="5">
        <f t="shared" si="0"/>
        <v>58000</v>
      </c>
      <c r="J16" s="5" t="str">
        <f t="shared" si="2"/>
        <v>Feb</v>
      </c>
      <c r="K16" s="5">
        <f t="shared" si="1"/>
        <v>2024</v>
      </c>
    </row>
    <row r="17" spans="1:15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  <c r="I17" s="5">
        <f t="shared" si="0"/>
        <v>12000</v>
      </c>
      <c r="J17" s="5" t="str">
        <f t="shared" si="2"/>
        <v>Feb</v>
      </c>
      <c r="K17" s="5">
        <f t="shared" si="1"/>
        <v>2024</v>
      </c>
    </row>
    <row r="18" spans="1:15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  <c r="I18" s="5">
        <f t="shared" si="0"/>
        <v>12500</v>
      </c>
      <c r="J18" s="5" t="str">
        <f t="shared" si="2"/>
        <v>Feb</v>
      </c>
      <c r="K18" s="5">
        <f t="shared" si="1"/>
        <v>2024</v>
      </c>
    </row>
    <row r="19" spans="1:15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  <c r="I19" s="5">
        <f t="shared" si="0"/>
        <v>46000</v>
      </c>
      <c r="J19" s="5" t="str">
        <f t="shared" si="2"/>
        <v>Feb</v>
      </c>
      <c r="K19" s="5">
        <f t="shared" si="1"/>
        <v>2024</v>
      </c>
    </row>
    <row r="20" spans="1:15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  <c r="I20" s="5">
        <f t="shared" si="0"/>
        <v>47000</v>
      </c>
      <c r="J20" s="5" t="str">
        <f t="shared" si="2"/>
        <v>Feb</v>
      </c>
      <c r="K20" s="5">
        <f t="shared" si="1"/>
        <v>2024</v>
      </c>
    </row>
    <row r="21" spans="1:15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  <c r="I21" s="5">
        <f t="shared" si="0"/>
        <v>10650</v>
      </c>
      <c r="J21" s="5" t="str">
        <f t="shared" si="2"/>
        <v>Feb</v>
      </c>
      <c r="K21" s="5">
        <f t="shared" si="1"/>
        <v>2024</v>
      </c>
    </row>
    <row r="24" spans="1:15">
      <c r="M24"/>
      <c r="N24"/>
      <c r="O24"/>
    </row>
    <row r="25" spans="1:15">
      <c r="M25" s="2"/>
      <c r="N25" s="12"/>
      <c r="O25"/>
    </row>
    <row r="26" spans="1:15">
      <c r="I26"/>
      <c r="J26"/>
      <c r="K26"/>
      <c r="M26" s="2"/>
      <c r="N26" s="12"/>
      <c r="O26"/>
    </row>
    <row r="27" spans="1:15">
      <c r="G27"/>
      <c r="H27"/>
      <c r="I27" s="2"/>
      <c r="J27" s="12"/>
      <c r="K27"/>
      <c r="M27" s="2"/>
      <c r="N27" s="12"/>
      <c r="O27"/>
    </row>
    <row r="28" spans="1:15">
      <c r="G28" s="2"/>
      <c r="H28" s="12"/>
      <c r="I28" s="16"/>
      <c r="J28" s="12"/>
      <c r="K28"/>
      <c r="M28" s="2"/>
      <c r="N28" s="12"/>
      <c r="O28"/>
    </row>
    <row r="29" spans="1:15">
      <c r="G29" s="2"/>
      <c r="H29" s="12"/>
      <c r="I29" s="16"/>
      <c r="J29" s="12"/>
      <c r="K29"/>
      <c r="M29" s="2"/>
      <c r="N29" s="12"/>
      <c r="O29"/>
    </row>
    <row r="30" spans="1:15">
      <c r="G30" s="2"/>
      <c r="H30" s="12"/>
      <c r="I30" s="2"/>
      <c r="J30" s="12"/>
      <c r="K30"/>
      <c r="M30" s="2"/>
      <c r="N30" s="12"/>
      <c r="O30"/>
    </row>
    <row r="31" spans="1:15">
      <c r="G31"/>
      <c r="H31"/>
      <c r="I31" s="16"/>
      <c r="J31" s="12"/>
      <c r="K31"/>
      <c r="M31" s="2"/>
      <c r="N31" s="12"/>
      <c r="O31"/>
    </row>
    <row r="32" spans="1:15">
      <c r="G32"/>
      <c r="H32"/>
      <c r="I32" s="16"/>
      <c r="J32" s="12"/>
      <c r="K32"/>
      <c r="M32"/>
      <c r="N32"/>
      <c r="O32"/>
    </row>
    <row r="33" spans="7:15">
      <c r="G33"/>
      <c r="H33"/>
      <c r="I33" s="2"/>
      <c r="J33" s="12"/>
      <c r="K33"/>
      <c r="M33"/>
      <c r="N33"/>
      <c r="O33"/>
    </row>
    <row r="34" spans="7:15">
      <c r="G34"/>
      <c r="H34"/>
      <c r="I34" s="2"/>
      <c r="J34" s="12"/>
      <c r="K34"/>
      <c r="M34"/>
      <c r="N34"/>
      <c r="O34"/>
    </row>
    <row r="35" spans="7:15">
      <c r="G35"/>
      <c r="H35"/>
      <c r="I35" s="16"/>
      <c r="J35" s="12"/>
      <c r="K35"/>
      <c r="M35"/>
      <c r="N35"/>
      <c r="O35"/>
    </row>
    <row r="36" spans="7:15">
      <c r="G36"/>
      <c r="H36"/>
      <c r="I36" s="16"/>
      <c r="J36" s="12"/>
      <c r="K36"/>
      <c r="M36"/>
      <c r="N36"/>
      <c r="O36"/>
    </row>
    <row r="37" spans="7:15">
      <c r="G37"/>
      <c r="H37"/>
      <c r="I37" s="2"/>
      <c r="J37" s="12"/>
      <c r="K37"/>
      <c r="M37"/>
      <c r="N37"/>
      <c r="O37"/>
    </row>
    <row r="38" spans="7:15">
      <c r="G38"/>
      <c r="H38"/>
      <c r="I38" s="2"/>
      <c r="J38" s="12"/>
      <c r="K38"/>
      <c r="L38"/>
      <c r="M38"/>
      <c r="N38"/>
      <c r="O38"/>
    </row>
    <row r="39" spans="7:15">
      <c r="G39"/>
      <c r="H39"/>
      <c r="I39" s="2"/>
      <c r="J39" s="12"/>
      <c r="K39"/>
      <c r="L39"/>
      <c r="M39"/>
      <c r="N39"/>
      <c r="O39"/>
    </row>
    <row r="40" spans="7:15">
      <c r="G40"/>
      <c r="H40"/>
      <c r="I40"/>
      <c r="J40"/>
      <c r="K40"/>
      <c r="L40"/>
      <c r="M40"/>
      <c r="N40"/>
      <c r="O40"/>
    </row>
    <row r="41" spans="7:15">
      <c r="G41"/>
      <c r="H41"/>
      <c r="I41"/>
      <c r="J41"/>
      <c r="K41"/>
      <c r="L41"/>
      <c r="M41"/>
      <c r="N41"/>
      <c r="O41"/>
    </row>
    <row r="42" spans="7:15">
      <c r="G42"/>
      <c r="H42"/>
      <c r="I42"/>
      <c r="J42"/>
      <c r="K42"/>
      <c r="L42"/>
      <c r="M42"/>
    </row>
    <row r="43" spans="7:15">
      <c r="G43"/>
      <c r="H43"/>
      <c r="I43"/>
      <c r="J43"/>
      <c r="K43"/>
      <c r="L43"/>
      <c r="M43"/>
    </row>
    <row r="44" spans="7:15">
      <c r="G44"/>
      <c r="H44"/>
      <c r="I44"/>
      <c r="J44"/>
      <c r="K44"/>
      <c r="L44"/>
      <c r="M44"/>
    </row>
    <row r="45" spans="7:15">
      <c r="K45"/>
      <c r="L45"/>
      <c r="M45"/>
    </row>
  </sheetData>
  <conditionalFormatting sqref="C1:C1048576">
    <cfRule type="containsText" dxfId="6" priority="1" operator="containsText" text="west">
      <formula>NOT(ISERROR(SEARCH("west",C1)))</formula>
    </cfRule>
    <cfRule type="containsText" dxfId="5" priority="2" operator="containsText" text="east">
      <formula>NOT(ISERROR(SEARCH("east",C1)))</formula>
    </cfRule>
    <cfRule type="containsText" dxfId="4" priority="3" operator="containsText" text="north">
      <formula>NOT(ISERROR(SEARCH("north",C1)))</formula>
    </cfRule>
    <cfRule type="containsText" dxfId="3" priority="6" operator="containsText" text="Region">
      <formula>NOT(ISERROR(SEARCH("Region",C1)))</formula>
    </cfRule>
    <cfRule type="containsText" dxfId="2" priority="7" operator="containsText" text="south">
      <formula>NOT(ISERROR(SEARCH("south",C1)))</formula>
    </cfRule>
  </conditionalFormatting>
  <conditionalFormatting sqref="L2">
    <cfRule type="containsText" dxfId="1" priority="4" operator="containsText" text="Region">
      <formula>NOT(ISERROR(SEARCH("Region",L2)))</formula>
    </cfRule>
    <cfRule type="containsText" dxfId="0" priority="5" operator="containsText" text="south">
      <formula>NOT(ISERROR(SEARCH("south",L2)))</formula>
    </cfRule>
  </conditionalFormatting>
  <dataValidations count="1">
    <dataValidation type="list" allowBlank="1" showInputMessage="1" showErrorMessage="1" sqref="M2 O2">
      <formula1>$C$2:$C$5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1"/>
  <sheetViews>
    <sheetView topLeftCell="G1" workbookViewId="0">
      <selection activeCell="I1" sqref="I1"/>
    </sheetView>
  </sheetViews>
  <sheetFormatPr defaultRowHeight="14.4"/>
  <cols>
    <col min="1" max="1" width="18.44140625" customWidth="1"/>
    <col min="2" max="2" width="17.88671875" customWidth="1"/>
    <col min="3" max="3" width="14.6640625" customWidth="1"/>
    <col min="4" max="4" width="15.21875" customWidth="1"/>
    <col min="5" max="5" width="13.88671875" customWidth="1"/>
    <col min="6" max="6" width="21.109375" style="5" customWidth="1"/>
    <col min="8" max="8" width="16.44140625" style="5" customWidth="1"/>
    <col min="9" max="9" width="14" style="5" customWidth="1"/>
    <col min="10" max="10" width="8.88671875" style="5"/>
    <col min="11" max="11" width="13.21875" style="5" customWidth="1"/>
    <col min="12" max="12" width="11" customWidth="1"/>
    <col min="15" max="15" width="17.5546875" customWidth="1"/>
  </cols>
  <sheetData>
    <row r="1" spans="1:15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45</v>
      </c>
      <c r="J1" s="1" t="s">
        <v>44</v>
      </c>
      <c r="K1" s="1" t="s">
        <v>46</v>
      </c>
      <c r="L1" s="10" t="s">
        <v>70</v>
      </c>
      <c r="M1" s="1" t="s">
        <v>71</v>
      </c>
      <c r="N1" s="1" t="s">
        <v>47</v>
      </c>
      <c r="O1" s="1" t="s">
        <v>69</v>
      </c>
    </row>
    <row r="2" spans="1:15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  <c r="I2" s="5">
        <f>H2*G2</f>
        <v>110000</v>
      </c>
      <c r="J2" s="5" t="str">
        <f>TEXT(A2,"mmm")</f>
        <v>Jan</v>
      </c>
      <c r="K2" s="5">
        <f>YEAR(A2)</f>
        <v>2024</v>
      </c>
      <c r="L2">
        <f>SUM(I2:I21)</f>
        <v>688150</v>
      </c>
      <c r="M2">
        <f>ROWS(B2:B21)</f>
        <v>20</v>
      </c>
      <c r="N2">
        <f>AVERAGE(I2:I21)</f>
        <v>34407.5</v>
      </c>
      <c r="O2">
        <f>MAX(I:I)</f>
        <v>110000</v>
      </c>
    </row>
    <row r="3" spans="1:15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  <c r="I3" s="5">
        <f t="shared" ref="I3:I21" si="0">H3*G3</f>
        <v>22000</v>
      </c>
      <c r="J3" s="5" t="str">
        <f t="shared" ref="J3:J21" si="1">TEXT(A3,"mmm")</f>
        <v>Jan</v>
      </c>
      <c r="K3" s="5">
        <f t="shared" ref="K3:K21" si="2">YEAR(A3)</f>
        <v>2024</v>
      </c>
    </row>
    <row r="4" spans="1:15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  <c r="I4" s="5">
        <f t="shared" si="0"/>
        <v>14000</v>
      </c>
      <c r="J4" s="5" t="str">
        <f t="shared" si="1"/>
        <v>Jan</v>
      </c>
      <c r="K4" s="5">
        <f t="shared" si="2"/>
        <v>2024</v>
      </c>
    </row>
    <row r="5" spans="1:15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  <c r="I5" s="5">
        <f t="shared" si="0"/>
        <v>12000</v>
      </c>
      <c r="J5" s="5" t="str">
        <f t="shared" si="1"/>
        <v>Jan</v>
      </c>
      <c r="K5" s="5">
        <f t="shared" si="2"/>
        <v>2024</v>
      </c>
    </row>
    <row r="6" spans="1:15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  <c r="I6" s="5">
        <f t="shared" si="0"/>
        <v>7500</v>
      </c>
      <c r="J6" s="5" t="str">
        <f t="shared" si="1"/>
        <v>Jan</v>
      </c>
      <c r="K6" s="5">
        <f t="shared" si="2"/>
        <v>2024</v>
      </c>
    </row>
    <row r="7" spans="1:15">
      <c r="A7" s="4">
        <v>45301</v>
      </c>
      <c r="B7" s="8" t="s">
        <v>28</v>
      </c>
      <c r="C7" s="8" t="s">
        <v>14</v>
      </c>
      <c r="D7" s="8" t="s">
        <v>15</v>
      </c>
      <c r="E7" s="8" t="s">
        <v>11</v>
      </c>
      <c r="F7" s="8" t="s">
        <v>12</v>
      </c>
      <c r="G7" s="8">
        <v>1</v>
      </c>
      <c r="H7" s="8">
        <v>56000</v>
      </c>
      <c r="I7" s="5">
        <f t="shared" si="0"/>
        <v>56000</v>
      </c>
      <c r="J7" s="5" t="str">
        <f t="shared" si="1"/>
        <v>Jan</v>
      </c>
      <c r="K7" s="5">
        <f t="shared" si="2"/>
        <v>2024</v>
      </c>
    </row>
    <row r="8" spans="1:15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  <c r="I8" s="5">
        <f t="shared" si="0"/>
        <v>42000</v>
      </c>
      <c r="J8" s="5" t="str">
        <f t="shared" si="1"/>
        <v>Jan</v>
      </c>
      <c r="K8" s="5">
        <f t="shared" si="2"/>
        <v>2024</v>
      </c>
    </row>
    <row r="9" spans="1:15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  <c r="I9" s="5">
        <f t="shared" si="0"/>
        <v>45000</v>
      </c>
      <c r="J9" s="5" t="str">
        <f t="shared" si="1"/>
        <v>Jan</v>
      </c>
      <c r="K9" s="5">
        <f t="shared" si="2"/>
        <v>2024</v>
      </c>
    </row>
    <row r="10" spans="1:15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  <c r="I10" s="5">
        <f t="shared" si="0"/>
        <v>17000</v>
      </c>
      <c r="J10" s="5" t="str">
        <f t="shared" si="1"/>
        <v>Jan</v>
      </c>
      <c r="K10" s="5">
        <f t="shared" si="2"/>
        <v>2024</v>
      </c>
    </row>
    <row r="11" spans="1:15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  <c r="I11" s="5">
        <f t="shared" si="0"/>
        <v>10400</v>
      </c>
      <c r="J11" s="5" t="str">
        <f t="shared" si="1"/>
        <v>Jan</v>
      </c>
      <c r="K11" s="5">
        <f t="shared" si="2"/>
        <v>2024</v>
      </c>
    </row>
    <row r="12" spans="1:15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  <c r="I12" s="5">
        <f t="shared" si="0"/>
        <v>23000</v>
      </c>
      <c r="J12" s="5" t="str">
        <f t="shared" si="1"/>
        <v>Jan</v>
      </c>
      <c r="K12" s="5">
        <f t="shared" si="2"/>
        <v>2024</v>
      </c>
    </row>
    <row r="13" spans="1:15">
      <c r="A13" s="4">
        <v>45316</v>
      </c>
      <c r="B13" s="8" t="s">
        <v>35</v>
      </c>
      <c r="C13" s="8" t="s">
        <v>23</v>
      </c>
      <c r="D13" s="8" t="s">
        <v>24</v>
      </c>
      <c r="E13" s="8" t="s">
        <v>11</v>
      </c>
      <c r="F13" s="8" t="s">
        <v>12</v>
      </c>
      <c r="G13" s="8">
        <v>1</v>
      </c>
      <c r="H13" s="8">
        <v>54000</v>
      </c>
      <c r="I13" s="5">
        <f t="shared" si="0"/>
        <v>54000</v>
      </c>
      <c r="J13" s="5" t="str">
        <f t="shared" si="1"/>
        <v>Jan</v>
      </c>
      <c r="K13" s="5">
        <f t="shared" si="2"/>
        <v>2024</v>
      </c>
    </row>
    <row r="14" spans="1:15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  <c r="I14" s="5">
        <f t="shared" si="0"/>
        <v>67500</v>
      </c>
      <c r="J14" s="5" t="str">
        <f t="shared" si="1"/>
        <v>Jan</v>
      </c>
      <c r="K14" s="5">
        <f t="shared" si="2"/>
        <v>2024</v>
      </c>
    </row>
    <row r="15" spans="1:15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  <c r="I15" s="5">
        <f t="shared" si="0"/>
        <v>21600</v>
      </c>
      <c r="J15" s="5" t="str">
        <f t="shared" si="1"/>
        <v>Feb</v>
      </c>
      <c r="K15" s="5">
        <f t="shared" si="2"/>
        <v>2024</v>
      </c>
    </row>
    <row r="16" spans="1:15">
      <c r="A16" s="4">
        <v>45327</v>
      </c>
      <c r="B16" s="8" t="s">
        <v>38</v>
      </c>
      <c r="C16" s="8" t="s">
        <v>18</v>
      </c>
      <c r="D16" s="8" t="s">
        <v>19</v>
      </c>
      <c r="E16" s="8" t="s">
        <v>11</v>
      </c>
      <c r="F16" s="8" t="s">
        <v>12</v>
      </c>
      <c r="G16" s="8">
        <v>1</v>
      </c>
      <c r="H16" s="8">
        <v>58000</v>
      </c>
      <c r="I16" s="5">
        <f t="shared" si="0"/>
        <v>58000</v>
      </c>
      <c r="J16" s="5" t="str">
        <f t="shared" si="1"/>
        <v>Feb</v>
      </c>
      <c r="K16" s="5">
        <f t="shared" si="2"/>
        <v>2024</v>
      </c>
    </row>
    <row r="17" spans="1:11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  <c r="I17" s="5">
        <f t="shared" si="0"/>
        <v>12000</v>
      </c>
      <c r="J17" s="5" t="str">
        <f t="shared" si="1"/>
        <v>Feb</v>
      </c>
      <c r="K17" s="5">
        <f t="shared" si="2"/>
        <v>2024</v>
      </c>
    </row>
    <row r="18" spans="1:11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  <c r="I18" s="5">
        <f t="shared" si="0"/>
        <v>12500</v>
      </c>
      <c r="J18" s="5" t="str">
        <f t="shared" si="1"/>
        <v>Feb</v>
      </c>
      <c r="K18" s="5">
        <f t="shared" si="2"/>
        <v>2024</v>
      </c>
    </row>
    <row r="19" spans="1:11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  <c r="I19" s="5">
        <f t="shared" si="0"/>
        <v>46000</v>
      </c>
      <c r="J19" s="5" t="str">
        <f t="shared" si="1"/>
        <v>Feb</v>
      </c>
      <c r="K19" s="5">
        <f t="shared" si="2"/>
        <v>2024</v>
      </c>
    </row>
    <row r="20" spans="1:11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  <c r="I20" s="5">
        <f t="shared" si="0"/>
        <v>47000</v>
      </c>
      <c r="J20" s="5" t="str">
        <f t="shared" si="1"/>
        <v>Feb</v>
      </c>
      <c r="K20" s="5">
        <f t="shared" si="2"/>
        <v>2024</v>
      </c>
    </row>
    <row r="21" spans="1:11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  <c r="I21" s="5">
        <f t="shared" si="0"/>
        <v>10650</v>
      </c>
      <c r="J21" s="5" t="str">
        <f t="shared" si="1"/>
        <v>Feb</v>
      </c>
      <c r="K21" s="5">
        <f t="shared" si="2"/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M11" sqref="M11"/>
    </sheetView>
  </sheetViews>
  <sheetFormatPr defaultRowHeight="14.4"/>
  <cols>
    <col min="8" max="8" width="10.88671875" customWidth="1"/>
  </cols>
  <sheetData>
    <row r="1" spans="1:9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45</v>
      </c>
    </row>
    <row r="2" spans="1:9" ht="28.8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  <c r="I2" s="5">
        <f>H2*G2</f>
        <v>110000</v>
      </c>
    </row>
    <row r="3" spans="1:9" ht="28.8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  <c r="I3" s="5">
        <f t="shared" ref="I3:I21" si="0">H3*G3</f>
        <v>22000</v>
      </c>
    </row>
    <row r="4" spans="1:9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  <c r="I4" s="5">
        <f t="shared" si="0"/>
        <v>14000</v>
      </c>
    </row>
    <row r="5" spans="1:9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  <c r="I5" s="5">
        <f t="shared" si="0"/>
        <v>12000</v>
      </c>
    </row>
    <row r="6" spans="1:9" ht="28.8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  <c r="I6" s="5">
        <f t="shared" si="0"/>
        <v>7500</v>
      </c>
    </row>
    <row r="7" spans="1:9" ht="28.8">
      <c r="A7" s="4">
        <v>45301</v>
      </c>
      <c r="B7" s="8" t="s">
        <v>28</v>
      </c>
      <c r="C7" s="8" t="s">
        <v>14</v>
      </c>
      <c r="D7" s="8" t="s">
        <v>15</v>
      </c>
      <c r="E7" s="8" t="s">
        <v>11</v>
      </c>
      <c r="F7" s="8" t="s">
        <v>12</v>
      </c>
      <c r="G7" s="8">
        <v>1</v>
      </c>
      <c r="H7" s="8">
        <v>56000</v>
      </c>
      <c r="I7" s="5">
        <f t="shared" si="0"/>
        <v>56000</v>
      </c>
    </row>
    <row r="8" spans="1:9" ht="28.8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  <c r="I8" s="5">
        <f t="shared" si="0"/>
        <v>42000</v>
      </c>
    </row>
    <row r="9" spans="1:9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  <c r="I9" s="5">
        <f t="shared" si="0"/>
        <v>45000</v>
      </c>
    </row>
    <row r="10" spans="1:9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  <c r="I10" s="5">
        <f t="shared" si="0"/>
        <v>17000</v>
      </c>
    </row>
    <row r="11" spans="1:9" ht="28.8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  <c r="I11" s="5">
        <f t="shared" si="0"/>
        <v>10400</v>
      </c>
    </row>
    <row r="12" spans="1:9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  <c r="I12" s="5">
        <f t="shared" si="0"/>
        <v>23000</v>
      </c>
    </row>
    <row r="13" spans="1:9" ht="28.8">
      <c r="A13" s="4">
        <v>45316</v>
      </c>
      <c r="B13" s="8" t="s">
        <v>35</v>
      </c>
      <c r="C13" s="8" t="s">
        <v>23</v>
      </c>
      <c r="D13" s="8" t="s">
        <v>24</v>
      </c>
      <c r="E13" s="8" t="s">
        <v>11</v>
      </c>
      <c r="F13" s="8" t="s">
        <v>12</v>
      </c>
      <c r="G13" s="8">
        <v>1</v>
      </c>
      <c r="H13" s="8">
        <v>54000</v>
      </c>
      <c r="I13" s="5">
        <f t="shared" si="0"/>
        <v>54000</v>
      </c>
    </row>
    <row r="14" spans="1:9" ht="28.8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  <c r="I14" s="5">
        <f t="shared" si="0"/>
        <v>67500</v>
      </c>
    </row>
    <row r="15" spans="1:9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  <c r="I15" s="5">
        <f t="shared" si="0"/>
        <v>21600</v>
      </c>
    </row>
    <row r="16" spans="1:9" ht="28.8">
      <c r="A16" s="4">
        <v>45327</v>
      </c>
      <c r="B16" s="8" t="s">
        <v>38</v>
      </c>
      <c r="C16" s="8" t="s">
        <v>18</v>
      </c>
      <c r="D16" s="8" t="s">
        <v>19</v>
      </c>
      <c r="E16" s="8" t="s">
        <v>11</v>
      </c>
      <c r="F16" s="8" t="s">
        <v>12</v>
      </c>
      <c r="G16" s="8">
        <v>1</v>
      </c>
      <c r="H16" s="8">
        <v>58000</v>
      </c>
      <c r="I16" s="5">
        <f t="shared" si="0"/>
        <v>58000</v>
      </c>
    </row>
    <row r="17" spans="1:9" ht="28.8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  <c r="I17" s="5">
        <f t="shared" si="0"/>
        <v>12000</v>
      </c>
    </row>
    <row r="18" spans="1:9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  <c r="I18" s="5">
        <f t="shared" si="0"/>
        <v>12500</v>
      </c>
    </row>
    <row r="19" spans="1:9" ht="28.8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  <c r="I19" s="5">
        <f t="shared" si="0"/>
        <v>46000</v>
      </c>
    </row>
    <row r="20" spans="1:9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  <c r="I20" s="5">
        <f t="shared" si="0"/>
        <v>47000</v>
      </c>
    </row>
    <row r="21" spans="1:9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  <c r="I21" s="5">
        <f t="shared" si="0"/>
        <v>10650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I23"/>
  <sheetViews>
    <sheetView topLeftCell="A3" workbookViewId="0">
      <selection activeCell="A3" sqref="A3:I23"/>
    </sheetView>
  </sheetViews>
  <sheetFormatPr defaultRowHeight="14.4"/>
  <cols>
    <col min="1" max="1" width="12.5546875" bestFit="1" customWidth="1"/>
  </cols>
  <sheetData>
    <row r="3" spans="1:9" ht="28.8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9" t="s">
        <v>45</v>
      </c>
    </row>
    <row r="4" spans="1:9" ht="28.8">
      <c r="A4" s="3">
        <v>45292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>
        <v>2</v>
      </c>
      <c r="H4" s="8">
        <v>55000</v>
      </c>
      <c r="I4">
        <f>H4*G4</f>
        <v>110000</v>
      </c>
    </row>
    <row r="5" spans="1:9" ht="28.8">
      <c r="A5" s="4">
        <v>45293</v>
      </c>
      <c r="B5" s="8" t="s">
        <v>13</v>
      </c>
      <c r="C5" s="8" t="s">
        <v>14</v>
      </c>
      <c r="D5" s="8" t="s">
        <v>15</v>
      </c>
      <c r="E5" s="8" t="s">
        <v>16</v>
      </c>
      <c r="F5" s="8" t="s">
        <v>12</v>
      </c>
      <c r="G5" s="8">
        <v>1</v>
      </c>
      <c r="H5" s="8">
        <v>22000</v>
      </c>
      <c r="I5">
        <f t="shared" ref="I5:I23" si="0">H5*G5</f>
        <v>22000</v>
      </c>
    </row>
    <row r="6" spans="1:9">
      <c r="A6" s="4">
        <v>45294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21</v>
      </c>
      <c r="G6" s="8">
        <v>4</v>
      </c>
      <c r="H6" s="8">
        <v>3500</v>
      </c>
      <c r="I6">
        <f t="shared" si="0"/>
        <v>14000</v>
      </c>
    </row>
    <row r="7" spans="1:9">
      <c r="A7" s="4">
        <v>45296</v>
      </c>
      <c r="B7" s="8" t="s">
        <v>22</v>
      </c>
      <c r="C7" s="8" t="s">
        <v>23</v>
      </c>
      <c r="D7" s="8" t="s">
        <v>24</v>
      </c>
      <c r="E7" s="8" t="s">
        <v>25</v>
      </c>
      <c r="F7" s="8" t="s">
        <v>21</v>
      </c>
      <c r="G7" s="8">
        <v>1</v>
      </c>
      <c r="H7" s="8">
        <v>12000</v>
      </c>
      <c r="I7">
        <f t="shared" si="0"/>
        <v>12000</v>
      </c>
    </row>
    <row r="8" spans="1:9" ht="28.8">
      <c r="A8" s="4">
        <v>45298</v>
      </c>
      <c r="B8" s="8" t="s">
        <v>26</v>
      </c>
      <c r="C8" s="8" t="s">
        <v>9</v>
      </c>
      <c r="D8" s="8" t="s">
        <v>10</v>
      </c>
      <c r="E8" s="8" t="s">
        <v>27</v>
      </c>
      <c r="F8" s="8" t="s">
        <v>12</v>
      </c>
      <c r="G8" s="8">
        <v>3</v>
      </c>
      <c r="H8" s="8">
        <v>2500</v>
      </c>
      <c r="I8">
        <f t="shared" si="0"/>
        <v>7500</v>
      </c>
    </row>
    <row r="9" spans="1:9" ht="28.8">
      <c r="A9" s="4">
        <v>45301</v>
      </c>
      <c r="B9" s="8" t="s">
        <v>28</v>
      </c>
      <c r="C9" s="8" t="s">
        <v>14</v>
      </c>
      <c r="D9" s="8" t="s">
        <v>15</v>
      </c>
      <c r="E9" s="8" t="s">
        <v>11</v>
      </c>
      <c r="F9" s="8" t="s">
        <v>12</v>
      </c>
      <c r="G9" s="8">
        <v>1</v>
      </c>
      <c r="H9" s="8">
        <v>56000</v>
      </c>
      <c r="I9">
        <f t="shared" si="0"/>
        <v>56000</v>
      </c>
    </row>
    <row r="10" spans="1:9" ht="28.8">
      <c r="A10" s="4">
        <v>45303</v>
      </c>
      <c r="B10" s="8" t="s">
        <v>29</v>
      </c>
      <c r="C10" s="8" t="s">
        <v>18</v>
      </c>
      <c r="D10" s="8" t="s">
        <v>19</v>
      </c>
      <c r="E10" s="8" t="s">
        <v>16</v>
      </c>
      <c r="F10" s="8" t="s">
        <v>12</v>
      </c>
      <c r="G10" s="8">
        <v>2</v>
      </c>
      <c r="H10" s="8">
        <v>21000</v>
      </c>
      <c r="I10">
        <f t="shared" si="0"/>
        <v>42000</v>
      </c>
    </row>
    <row r="11" spans="1:9">
      <c r="A11" s="4">
        <v>45306</v>
      </c>
      <c r="B11" s="8" t="s">
        <v>30</v>
      </c>
      <c r="C11" s="8" t="s">
        <v>23</v>
      </c>
      <c r="D11" s="8" t="s">
        <v>24</v>
      </c>
      <c r="E11" s="8" t="s">
        <v>31</v>
      </c>
      <c r="F11" s="8" t="s">
        <v>21</v>
      </c>
      <c r="G11" s="8">
        <v>1</v>
      </c>
      <c r="H11" s="8">
        <v>45000</v>
      </c>
      <c r="I11">
        <f t="shared" si="0"/>
        <v>45000</v>
      </c>
    </row>
    <row r="12" spans="1:9">
      <c r="A12" s="4">
        <v>45309</v>
      </c>
      <c r="B12" s="8" t="s">
        <v>32</v>
      </c>
      <c r="C12" s="8" t="s">
        <v>9</v>
      </c>
      <c r="D12" s="8" t="s">
        <v>10</v>
      </c>
      <c r="E12" s="8" t="s">
        <v>20</v>
      </c>
      <c r="F12" s="8" t="s">
        <v>21</v>
      </c>
      <c r="G12" s="8">
        <v>5</v>
      </c>
      <c r="H12" s="8">
        <v>3400</v>
      </c>
      <c r="I12">
        <f t="shared" si="0"/>
        <v>17000</v>
      </c>
    </row>
    <row r="13" spans="1:9" ht="28.8">
      <c r="A13" s="4">
        <v>45311</v>
      </c>
      <c r="B13" s="8" t="s">
        <v>33</v>
      </c>
      <c r="C13" s="8" t="s">
        <v>14</v>
      </c>
      <c r="D13" s="8" t="s">
        <v>15</v>
      </c>
      <c r="E13" s="8" t="s">
        <v>27</v>
      </c>
      <c r="F13" s="8" t="s">
        <v>12</v>
      </c>
      <c r="G13" s="8">
        <v>4</v>
      </c>
      <c r="H13" s="8">
        <v>2600</v>
      </c>
      <c r="I13">
        <f t="shared" si="0"/>
        <v>10400</v>
      </c>
    </row>
    <row r="14" spans="1:9">
      <c r="A14" s="4">
        <v>45313</v>
      </c>
      <c r="B14" s="8" t="s">
        <v>34</v>
      </c>
      <c r="C14" s="8" t="s">
        <v>18</v>
      </c>
      <c r="D14" s="8" t="s">
        <v>19</v>
      </c>
      <c r="E14" s="8" t="s">
        <v>25</v>
      </c>
      <c r="F14" s="8" t="s">
        <v>21</v>
      </c>
      <c r="G14" s="8">
        <v>2</v>
      </c>
      <c r="H14" s="8">
        <v>11500</v>
      </c>
      <c r="I14">
        <f t="shared" si="0"/>
        <v>23000</v>
      </c>
    </row>
    <row r="15" spans="1:9" ht="28.8">
      <c r="A15" s="4">
        <v>45316</v>
      </c>
      <c r="B15" s="8" t="s">
        <v>35</v>
      </c>
      <c r="C15" s="8" t="s">
        <v>23</v>
      </c>
      <c r="D15" s="8" t="s">
        <v>24</v>
      </c>
      <c r="E15" s="8" t="s">
        <v>11</v>
      </c>
      <c r="F15" s="8" t="s">
        <v>12</v>
      </c>
      <c r="G15" s="8">
        <v>1</v>
      </c>
      <c r="H15" s="8">
        <v>54000</v>
      </c>
      <c r="I15">
        <f t="shared" si="0"/>
        <v>54000</v>
      </c>
    </row>
    <row r="16" spans="1:9" ht="28.8">
      <c r="A16" s="4">
        <v>45319</v>
      </c>
      <c r="B16" s="8" t="s">
        <v>36</v>
      </c>
      <c r="C16" s="8" t="s">
        <v>9</v>
      </c>
      <c r="D16" s="8" t="s">
        <v>10</v>
      </c>
      <c r="E16" s="8" t="s">
        <v>16</v>
      </c>
      <c r="F16" s="8" t="s">
        <v>12</v>
      </c>
      <c r="G16" s="8">
        <v>3</v>
      </c>
      <c r="H16" s="8">
        <v>22500</v>
      </c>
      <c r="I16">
        <f t="shared" si="0"/>
        <v>67500</v>
      </c>
    </row>
    <row r="17" spans="1:9">
      <c r="A17" s="4">
        <v>45324</v>
      </c>
      <c r="B17" s="8" t="s">
        <v>37</v>
      </c>
      <c r="C17" s="8" t="s">
        <v>14</v>
      </c>
      <c r="D17" s="8" t="s">
        <v>15</v>
      </c>
      <c r="E17" s="8" t="s">
        <v>20</v>
      </c>
      <c r="F17" s="8" t="s">
        <v>21</v>
      </c>
      <c r="G17" s="8">
        <v>6</v>
      </c>
      <c r="H17" s="8">
        <v>3600</v>
      </c>
      <c r="I17">
        <f t="shared" si="0"/>
        <v>21600</v>
      </c>
    </row>
    <row r="18" spans="1:9" ht="28.8">
      <c r="A18" s="4">
        <v>45327</v>
      </c>
      <c r="B18" s="8" t="s">
        <v>38</v>
      </c>
      <c r="C18" s="8" t="s">
        <v>18</v>
      </c>
      <c r="D18" s="8" t="s">
        <v>19</v>
      </c>
      <c r="E18" s="8" t="s">
        <v>11</v>
      </c>
      <c r="F18" s="8" t="s">
        <v>12</v>
      </c>
      <c r="G18" s="8">
        <v>1</v>
      </c>
      <c r="H18" s="8">
        <v>58000</v>
      </c>
      <c r="I18">
        <f t="shared" si="0"/>
        <v>58000</v>
      </c>
    </row>
    <row r="19" spans="1:9" ht="28.8">
      <c r="A19" s="4">
        <v>45330</v>
      </c>
      <c r="B19" s="8" t="s">
        <v>39</v>
      </c>
      <c r="C19" s="8" t="s">
        <v>23</v>
      </c>
      <c r="D19" s="8" t="s">
        <v>24</v>
      </c>
      <c r="E19" s="8" t="s">
        <v>27</v>
      </c>
      <c r="F19" s="8" t="s">
        <v>12</v>
      </c>
      <c r="G19" s="8">
        <v>5</v>
      </c>
      <c r="H19" s="8">
        <v>2400</v>
      </c>
      <c r="I19">
        <f t="shared" si="0"/>
        <v>12000</v>
      </c>
    </row>
    <row r="20" spans="1:9">
      <c r="A20" s="4">
        <v>45334</v>
      </c>
      <c r="B20" s="8" t="s">
        <v>40</v>
      </c>
      <c r="C20" s="8" t="s">
        <v>9</v>
      </c>
      <c r="D20" s="8" t="s">
        <v>10</v>
      </c>
      <c r="E20" s="8" t="s">
        <v>25</v>
      </c>
      <c r="F20" s="8" t="s">
        <v>21</v>
      </c>
      <c r="G20" s="8">
        <v>1</v>
      </c>
      <c r="H20" s="8">
        <v>12500</v>
      </c>
      <c r="I20">
        <f t="shared" si="0"/>
        <v>12500</v>
      </c>
    </row>
    <row r="21" spans="1:9" ht="28.8">
      <c r="A21" s="4">
        <v>45337</v>
      </c>
      <c r="B21" s="8" t="s">
        <v>41</v>
      </c>
      <c r="C21" s="8" t="s">
        <v>14</v>
      </c>
      <c r="D21" s="8" t="s">
        <v>15</v>
      </c>
      <c r="E21" s="8" t="s">
        <v>16</v>
      </c>
      <c r="F21" s="8" t="s">
        <v>12</v>
      </c>
      <c r="G21" s="8">
        <v>2</v>
      </c>
      <c r="H21" s="8">
        <v>23000</v>
      </c>
      <c r="I21">
        <f t="shared" si="0"/>
        <v>46000</v>
      </c>
    </row>
    <row r="22" spans="1:9">
      <c r="A22" s="4">
        <v>45340</v>
      </c>
      <c r="B22" s="8" t="s">
        <v>42</v>
      </c>
      <c r="C22" s="8" t="s">
        <v>18</v>
      </c>
      <c r="D22" s="8" t="s">
        <v>19</v>
      </c>
      <c r="E22" s="8" t="s">
        <v>31</v>
      </c>
      <c r="F22" s="8" t="s">
        <v>21</v>
      </c>
      <c r="G22" s="8">
        <v>1</v>
      </c>
      <c r="H22" s="8">
        <v>47000</v>
      </c>
      <c r="I22">
        <f t="shared" si="0"/>
        <v>47000</v>
      </c>
    </row>
    <row r="23" spans="1:9">
      <c r="A23" s="4">
        <v>45342</v>
      </c>
      <c r="B23" s="8" t="s">
        <v>43</v>
      </c>
      <c r="C23" s="8" t="s">
        <v>23</v>
      </c>
      <c r="D23" s="8" t="s">
        <v>24</v>
      </c>
      <c r="E23" s="8" t="s">
        <v>20</v>
      </c>
      <c r="F23" s="8" t="s">
        <v>21</v>
      </c>
      <c r="G23" s="8">
        <v>3</v>
      </c>
      <c r="H23" s="8">
        <v>3550</v>
      </c>
      <c r="I23">
        <f t="shared" si="0"/>
        <v>10650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9"/>
  <sheetViews>
    <sheetView workbookViewId="0">
      <selection activeCell="E21" sqref="E21"/>
    </sheetView>
  </sheetViews>
  <sheetFormatPr defaultRowHeight="14.4"/>
  <cols>
    <col min="1" max="1" width="12.5546875" customWidth="1"/>
    <col min="2" max="2" width="17.5546875" customWidth="1"/>
    <col min="5" max="5" width="15.5546875" bestFit="1" customWidth="1"/>
    <col min="6" max="6" width="10.77734375" customWidth="1"/>
    <col min="7" max="7" width="18.44140625" customWidth="1"/>
    <col min="8" max="8" width="21.44140625" customWidth="1"/>
    <col min="9" max="9" width="10.88671875" customWidth="1"/>
    <col min="10" max="10" width="17.109375" customWidth="1"/>
    <col min="11" max="11" width="12.5546875" customWidth="1"/>
    <col min="12" max="12" width="13.5546875" customWidth="1"/>
    <col min="13" max="13" width="21.6640625" customWidth="1"/>
    <col min="14" max="14" width="12.77734375" customWidth="1"/>
  </cols>
  <sheetData>
    <row r="1" spans="1:15">
      <c r="A1" s="23" t="s">
        <v>59</v>
      </c>
      <c r="B1" s="23"/>
    </row>
    <row r="2" spans="1:15">
      <c r="E2" s="5"/>
      <c r="F2" s="23" t="s">
        <v>60</v>
      </c>
      <c r="G2" s="24"/>
      <c r="H2" s="19"/>
      <c r="I2" s="18" t="s">
        <v>66</v>
      </c>
      <c r="J2" s="18"/>
      <c r="M2" s="17" t="s">
        <v>64</v>
      </c>
    </row>
    <row r="3" spans="1:15">
      <c r="A3" s="11" t="s">
        <v>57</v>
      </c>
      <c r="B3" t="s">
        <v>50</v>
      </c>
      <c r="D3" s="5"/>
      <c r="E3" s="5"/>
      <c r="F3" s="5"/>
      <c r="G3" s="5"/>
      <c r="H3" s="20"/>
      <c r="I3" s="5"/>
    </row>
    <row r="4" spans="1:15">
      <c r="A4" s="2" t="s">
        <v>18</v>
      </c>
      <c r="B4" s="12">
        <v>184000</v>
      </c>
      <c r="D4" s="5"/>
      <c r="E4" s="5"/>
      <c r="F4" s="11" t="s">
        <v>61</v>
      </c>
      <c r="G4" t="s">
        <v>50</v>
      </c>
      <c r="I4" s="11" t="s">
        <v>61</v>
      </c>
      <c r="J4" t="s">
        <v>50</v>
      </c>
      <c r="L4" s="5"/>
      <c r="M4" s="5"/>
      <c r="N4" s="5"/>
      <c r="O4" s="5"/>
    </row>
    <row r="5" spans="1:15">
      <c r="A5" s="2" t="s">
        <v>9</v>
      </c>
      <c r="B5" s="12">
        <v>214500</v>
      </c>
      <c r="D5" s="5"/>
      <c r="E5" s="5"/>
      <c r="F5" s="2" t="s">
        <v>20</v>
      </c>
      <c r="G5" s="12">
        <v>121250</v>
      </c>
      <c r="I5" s="2" t="s">
        <v>16</v>
      </c>
      <c r="J5" s="12">
        <v>233500</v>
      </c>
      <c r="L5" s="5"/>
      <c r="M5" s="11" t="s">
        <v>63</v>
      </c>
      <c r="N5" t="s">
        <v>50</v>
      </c>
      <c r="O5" s="5"/>
    </row>
    <row r="6" spans="1:15">
      <c r="A6" s="2" t="s">
        <v>14</v>
      </c>
      <c r="B6" s="12">
        <v>156000</v>
      </c>
      <c r="D6" s="5"/>
      <c r="E6" s="5"/>
      <c r="F6" s="2" t="s">
        <v>27</v>
      </c>
      <c r="G6" s="12">
        <v>29900</v>
      </c>
      <c r="I6" s="2" t="s">
        <v>49</v>
      </c>
      <c r="J6" s="12">
        <v>233500</v>
      </c>
      <c r="L6" s="5"/>
      <c r="M6" s="2" t="s">
        <v>16</v>
      </c>
      <c r="N6" s="12">
        <v>233500</v>
      </c>
    </row>
    <row r="7" spans="1:15">
      <c r="A7" s="2" t="s">
        <v>23</v>
      </c>
      <c r="B7" s="12">
        <v>133650</v>
      </c>
      <c r="D7" s="5"/>
      <c r="E7" s="5"/>
      <c r="F7" s="2" t="s">
        <v>11</v>
      </c>
      <c r="G7" s="12">
        <v>110000</v>
      </c>
      <c r="M7" s="16" t="s">
        <v>51</v>
      </c>
      <c r="N7" s="12">
        <v>187500</v>
      </c>
    </row>
    <row r="8" spans="1:15">
      <c r="A8" s="2" t="s">
        <v>49</v>
      </c>
      <c r="B8" s="12">
        <v>688150</v>
      </c>
      <c r="D8" s="5"/>
      <c r="E8" s="5"/>
      <c r="F8" s="2" t="s">
        <v>16</v>
      </c>
      <c r="G8" s="12">
        <v>233500</v>
      </c>
      <c r="I8" s="5"/>
      <c r="L8" s="12"/>
      <c r="M8" s="16" t="s">
        <v>62</v>
      </c>
      <c r="N8" s="12">
        <v>46000</v>
      </c>
    </row>
    <row r="9" spans="1:15">
      <c r="D9" s="5"/>
      <c r="E9" s="5"/>
      <c r="F9" s="2" t="s">
        <v>31</v>
      </c>
      <c r="G9" s="12">
        <v>92000</v>
      </c>
      <c r="I9" s="5"/>
      <c r="L9" s="12"/>
      <c r="M9" s="2" t="s">
        <v>49</v>
      </c>
      <c r="N9" s="12">
        <v>233500</v>
      </c>
    </row>
    <row r="10" spans="1:15">
      <c r="D10" s="5"/>
      <c r="E10" s="5"/>
      <c r="F10" s="2" t="s">
        <v>25</v>
      </c>
      <c r="G10" s="12">
        <v>101500</v>
      </c>
      <c r="I10" s="5"/>
      <c r="L10" s="12"/>
      <c r="M10" s="2"/>
      <c r="N10" s="12"/>
    </row>
    <row r="11" spans="1:15">
      <c r="E11" s="5"/>
      <c r="F11" s="2" t="s">
        <v>49</v>
      </c>
      <c r="G11" s="12">
        <v>688150</v>
      </c>
      <c r="I11" s="5"/>
    </row>
    <row r="12" spans="1:15">
      <c r="E12" s="5"/>
      <c r="F12" s="2"/>
      <c r="G12" s="12"/>
      <c r="I12" s="5"/>
    </row>
    <row r="13" spans="1:15">
      <c r="E13" s="5"/>
      <c r="I13" s="5"/>
    </row>
    <row r="14" spans="1:15">
      <c r="E14" s="5"/>
      <c r="H14" s="21" t="s">
        <v>67</v>
      </c>
      <c r="I14" s="5"/>
    </row>
    <row r="15" spans="1:15">
      <c r="A15" s="11" t="s">
        <v>48</v>
      </c>
      <c r="B15" t="s">
        <v>52</v>
      </c>
    </row>
    <row r="16" spans="1:15">
      <c r="A16" s="2" t="s">
        <v>18</v>
      </c>
      <c r="B16" s="12">
        <v>184000</v>
      </c>
      <c r="G16" s="5"/>
      <c r="H16" s="11" t="s">
        <v>65</v>
      </c>
      <c r="I16" t="s">
        <v>50</v>
      </c>
    </row>
    <row r="17" spans="1:9">
      <c r="A17" s="2" t="s">
        <v>9</v>
      </c>
      <c r="B17" s="12">
        <v>214500</v>
      </c>
      <c r="H17" s="2" t="s">
        <v>20</v>
      </c>
      <c r="I17" s="12">
        <v>121250</v>
      </c>
    </row>
    <row r="18" spans="1:9">
      <c r="A18" s="2" t="s">
        <v>14</v>
      </c>
      <c r="B18" s="12">
        <v>156000</v>
      </c>
      <c r="G18" s="12"/>
      <c r="H18" s="16" t="s">
        <v>51</v>
      </c>
      <c r="I18" s="12">
        <v>31000</v>
      </c>
    </row>
    <row r="19" spans="1:9">
      <c r="A19" s="2" t="s">
        <v>23</v>
      </c>
      <c r="B19" s="12">
        <v>133650</v>
      </c>
      <c r="G19" s="12"/>
      <c r="H19" s="16" t="s">
        <v>62</v>
      </c>
      <c r="I19" s="12">
        <v>90250</v>
      </c>
    </row>
    <row r="20" spans="1:9">
      <c r="A20" s="2" t="s">
        <v>49</v>
      </c>
      <c r="B20" s="12">
        <v>688150</v>
      </c>
      <c r="G20" s="12"/>
      <c r="H20" s="2" t="s">
        <v>27</v>
      </c>
      <c r="I20" s="12">
        <v>29900</v>
      </c>
    </row>
    <row r="21" spans="1:9">
      <c r="H21" s="16" t="s">
        <v>51</v>
      </c>
      <c r="I21" s="12">
        <v>17900</v>
      </c>
    </row>
    <row r="22" spans="1:9">
      <c r="H22" s="16" t="s">
        <v>62</v>
      </c>
      <c r="I22" s="12">
        <v>12000</v>
      </c>
    </row>
    <row r="23" spans="1:9">
      <c r="H23" s="2" t="s">
        <v>11</v>
      </c>
      <c r="I23" s="12">
        <v>110000</v>
      </c>
    </row>
    <row r="24" spans="1:9">
      <c r="H24" s="2" t="s">
        <v>16</v>
      </c>
      <c r="I24" s="12">
        <v>233500</v>
      </c>
    </row>
    <row r="25" spans="1:9">
      <c r="H25" s="16" t="s">
        <v>51</v>
      </c>
      <c r="I25" s="12">
        <v>187500</v>
      </c>
    </row>
    <row r="26" spans="1:9">
      <c r="H26" s="16" t="s">
        <v>62</v>
      </c>
      <c r="I26" s="12">
        <v>46000</v>
      </c>
    </row>
    <row r="27" spans="1:9">
      <c r="H27" s="2" t="s">
        <v>31</v>
      </c>
      <c r="I27" s="12">
        <v>92000</v>
      </c>
    </row>
    <row r="28" spans="1:9">
      <c r="H28" s="2" t="s">
        <v>25</v>
      </c>
      <c r="I28" s="12">
        <v>101500</v>
      </c>
    </row>
    <row r="29" spans="1:9">
      <c r="H29" s="2" t="s">
        <v>49</v>
      </c>
      <c r="I29" s="12">
        <v>688150</v>
      </c>
    </row>
  </sheetData>
  <mergeCells count="2">
    <mergeCell ref="A1:B1"/>
    <mergeCell ref="F2:G2"/>
  </mergeCells>
  <pageMargins left="0.7" right="0.7" top="0.75" bottom="0.75" header="0.3" footer="0.3"/>
  <pageSetup orientation="portrait" horizontalDpi="300" verticalDpi="300" r:id="rId7"/>
</worksheet>
</file>

<file path=xl/worksheets/sheet8.xml><?xml version="1.0" encoding="utf-8"?>
<worksheet xmlns="http://schemas.openxmlformats.org/spreadsheetml/2006/main" xmlns:r="http://schemas.openxmlformats.org/officeDocument/2006/relationships">
  <dimension ref="A4:O37"/>
  <sheetViews>
    <sheetView topLeftCell="A30" workbookViewId="0">
      <selection activeCell="E60" sqref="E60"/>
    </sheetView>
  </sheetViews>
  <sheetFormatPr defaultRowHeight="14.4"/>
  <cols>
    <col min="1" max="1" width="12.5546875" customWidth="1"/>
    <col min="2" max="2" width="17.5546875" bestFit="1" customWidth="1"/>
    <col min="3" max="3" width="12.5546875" customWidth="1"/>
    <col min="4" max="4" width="12.44140625" bestFit="1" customWidth="1"/>
    <col min="14" max="14" width="12.5546875" bestFit="1" customWidth="1"/>
    <col min="15" max="15" width="17.5546875" bestFit="1" customWidth="1"/>
  </cols>
  <sheetData>
    <row r="4" spans="1:15">
      <c r="A4" s="2"/>
      <c r="B4" s="12"/>
    </row>
    <row r="5" spans="1:15">
      <c r="A5" s="2"/>
      <c r="B5" s="12"/>
    </row>
    <row r="6" spans="1:15">
      <c r="A6" s="2"/>
      <c r="B6" s="12"/>
    </row>
    <row r="7" spans="1:15">
      <c r="A7" s="2"/>
      <c r="B7" s="12"/>
      <c r="I7" s="2"/>
      <c r="J7" s="12"/>
    </row>
    <row r="8" spans="1:15">
      <c r="A8" s="2"/>
      <c r="B8" s="12"/>
      <c r="I8" s="2"/>
      <c r="J8" s="12"/>
    </row>
    <row r="9" spans="1:15">
      <c r="A9" s="2"/>
      <c r="B9" s="12"/>
      <c r="I9" s="2"/>
      <c r="J9" s="12"/>
    </row>
    <row r="10" spans="1:15">
      <c r="A10" s="2"/>
      <c r="B10" s="12"/>
      <c r="I10" s="2"/>
      <c r="J10" s="12"/>
    </row>
    <row r="11" spans="1:15">
      <c r="I11" s="2"/>
      <c r="J11" s="12"/>
      <c r="N11" s="2"/>
      <c r="O11" s="12"/>
    </row>
    <row r="12" spans="1:15">
      <c r="B12" s="2"/>
      <c r="I12" s="2"/>
      <c r="J12" s="12"/>
      <c r="N12" s="2"/>
      <c r="O12" s="12"/>
    </row>
    <row r="13" spans="1:15">
      <c r="B13" s="2"/>
      <c r="C13" s="2"/>
      <c r="N13" s="2"/>
      <c r="O13" s="12"/>
    </row>
    <row r="14" spans="1:15">
      <c r="B14" s="2"/>
      <c r="C14" s="2"/>
      <c r="N14" s="2"/>
      <c r="O14" s="12"/>
    </row>
    <row r="15" spans="1:15">
      <c r="B15" s="2"/>
      <c r="C15" s="2"/>
      <c r="N15" s="2"/>
      <c r="O15" s="12"/>
    </row>
    <row r="16" spans="1:15">
      <c r="B16" s="2"/>
      <c r="C16" s="2"/>
    </row>
    <row r="17" spans="1:3">
      <c r="B17" s="2"/>
      <c r="C17" s="2"/>
    </row>
    <row r="18" spans="1:3">
      <c r="C18" s="2"/>
    </row>
    <row r="30" spans="1:3">
      <c r="A30" s="11" t="s">
        <v>58</v>
      </c>
      <c r="B30" t="s">
        <v>52</v>
      </c>
    </row>
    <row r="31" spans="1:3">
      <c r="A31" s="2" t="s">
        <v>20</v>
      </c>
      <c r="B31" s="12">
        <v>63250</v>
      </c>
    </row>
    <row r="32" spans="1:3">
      <c r="A32" s="2" t="s">
        <v>27</v>
      </c>
      <c r="B32" s="12">
        <v>29900</v>
      </c>
    </row>
    <row r="33" spans="1:2">
      <c r="A33" s="2" t="s">
        <v>11</v>
      </c>
      <c r="B33" s="12">
        <v>278000</v>
      </c>
    </row>
    <row r="34" spans="1:2">
      <c r="A34" s="2" t="s">
        <v>16</v>
      </c>
      <c r="B34" s="12">
        <v>177500</v>
      </c>
    </row>
    <row r="35" spans="1:2">
      <c r="A35" s="2" t="s">
        <v>31</v>
      </c>
      <c r="B35" s="12">
        <v>92000</v>
      </c>
    </row>
    <row r="36" spans="1:2">
      <c r="A36" s="2" t="s">
        <v>25</v>
      </c>
      <c r="B36" s="12">
        <v>47500</v>
      </c>
    </row>
    <row r="37" spans="1:2">
      <c r="A37" s="2" t="s">
        <v>49</v>
      </c>
      <c r="B37" s="12">
        <v>688150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I3:P31"/>
  <sheetViews>
    <sheetView tabSelected="1" zoomScale="85" zoomScaleNormal="85" workbookViewId="0">
      <selection activeCell="R22" sqref="R22"/>
    </sheetView>
  </sheetViews>
  <sheetFormatPr defaultRowHeight="14.4"/>
  <sheetData>
    <row r="3" spans="14:16">
      <c r="N3" s="12"/>
      <c r="P3" s="5"/>
    </row>
    <row r="4" spans="14:16">
      <c r="N4" s="12"/>
      <c r="P4" s="5"/>
    </row>
    <row r="5" spans="14:16">
      <c r="N5" s="12"/>
      <c r="P5" s="5"/>
    </row>
    <row r="6" spans="14:16">
      <c r="N6" s="12"/>
      <c r="P6" s="5"/>
    </row>
    <row r="7" spans="14:16">
      <c r="P7" s="5"/>
    </row>
    <row r="8" spans="14:16">
      <c r="O8" s="22"/>
      <c r="P8" s="5"/>
    </row>
    <row r="10" spans="14:16">
      <c r="N10" s="5"/>
    </row>
    <row r="11" spans="14:16">
      <c r="O11" s="2"/>
      <c r="P11" s="12"/>
    </row>
    <row r="12" spans="14:16">
      <c r="N12" s="12"/>
      <c r="O12" s="16"/>
      <c r="P12" s="12"/>
    </row>
    <row r="13" spans="14:16">
      <c r="N13" s="12"/>
      <c r="O13" s="16"/>
      <c r="P13" s="12"/>
    </row>
    <row r="14" spans="14:16">
      <c r="N14" s="12"/>
      <c r="O14" s="2"/>
      <c r="P14" s="12"/>
    </row>
    <row r="15" spans="14:16">
      <c r="O15" s="16"/>
      <c r="P15" s="12"/>
    </row>
    <row r="16" spans="14:16">
      <c r="O16" s="16"/>
      <c r="P16" s="12"/>
    </row>
    <row r="17" spans="9:16">
      <c r="O17" s="2"/>
      <c r="P17" s="12"/>
    </row>
    <row r="18" spans="9:16">
      <c r="O18" s="2"/>
      <c r="P18" s="12"/>
    </row>
    <row r="25" spans="9:16">
      <c r="I25" s="2"/>
      <c r="J25" s="12"/>
    </row>
    <row r="26" spans="9:16">
      <c r="I26" s="2"/>
      <c r="J26" s="12"/>
    </row>
    <row r="27" spans="9:16">
      <c r="I27" s="2"/>
      <c r="J27" s="12"/>
    </row>
    <row r="28" spans="9:16">
      <c r="I28" s="2"/>
      <c r="J28" s="12"/>
    </row>
    <row r="29" spans="9:16">
      <c r="I29" s="2"/>
      <c r="J29" s="12"/>
    </row>
    <row r="30" spans="9:16">
      <c r="I30" s="2"/>
      <c r="J30" s="12"/>
    </row>
    <row r="31" spans="9:16">
      <c r="I31" s="2"/>
      <c r="J31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Mishra</dc:creator>
  <cp:lastModifiedBy>Niranjan Mishra</cp:lastModifiedBy>
  <dcterms:created xsi:type="dcterms:W3CDTF">2025-12-13T04:32:52Z</dcterms:created>
  <dcterms:modified xsi:type="dcterms:W3CDTF">2025-12-25T21:04:09Z</dcterms:modified>
</cp:coreProperties>
</file>